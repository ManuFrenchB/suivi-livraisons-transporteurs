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'Suivi'!$A$4:$J$65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26"/>
    </font>
    <font>
      <name val="Arial"/>
      <b val="1"/>
      <color rgb="002E75B6"/>
      <sz val="26"/>
    </font>
    <font>
      <name val="Arial"/>
      <b val="1"/>
      <color rgb="00C00000"/>
      <sz val="26"/>
    </font>
    <font>
      <name val="Arial"/>
      <b val="1"/>
      <color rgb="00ED7D31"/>
      <sz val="26"/>
    </font>
    <font>
      <name val="Arial"/>
      <b val="1"/>
      <color rgb="00548235"/>
      <sz val="26"/>
    </font>
    <font>
      <name val="Arial"/>
      <b val="1"/>
      <color rgb="007F7F7F"/>
      <sz val="26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54823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Commandes par statut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'Dashboard'!$B$15:$B$19</f>
            </numRef>
          </cat>
          <val>
            <numRef>
              <f>'Dashboard'!$C$15:$C$19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6" customWidth="1" min="3" max="3"/>
    <col width="16" customWidth="1" min="4" max="4"/>
    <col width="18" customWidth="1" min="5" max="5"/>
    <col width="18" customWidth="1" min="6" max="6"/>
    <col width="30" customWidth="1" min="7" max="7"/>
    <col width="16" customWidth="1" min="8" max="8"/>
    <col width="13" customWidth="1" min="9" max="9"/>
    <col width="30" customWidth="1" min="10" max="10"/>
  </cols>
  <sheetData>
    <row r="1" ht="22" customHeight="1">
      <c r="A1" s="1" t="inlineStr">
        <is>
          <t>GABARIT DE SUIVI LIVRAISONS — remplir les colonnes JAUNES ; les colonnes VERTES se calculent seules</t>
        </is>
      </c>
    </row>
    <row r="2">
      <c r="A2" s="2" t="inlineStr">
        <is>
          <t>Jaune = à remplir (depuis export ERP/TMS + statut brut transporteur)   •   Vert = calculé automatiquement   •   Statuts : En cours / En retard / Incident / Livré / À vérifier</t>
        </is>
      </c>
    </row>
    <row r="4" ht="30" customHeight="1">
      <c r="A4" s="3" t="inlineStr">
        <is>
          <t>N° commande</t>
        </is>
      </c>
      <c r="B4" s="3" t="inlineStr">
        <is>
          <t>Transporteur</t>
        </is>
      </c>
      <c r="C4" s="3" t="inlineStr">
        <is>
          <t>Lien tracking</t>
        </is>
      </c>
      <c r="D4" s="3" t="inlineStr">
        <is>
          <t>Date expédition</t>
        </is>
      </c>
      <c r="E4" s="3" t="inlineStr">
        <is>
          <t>Date livraison prévue</t>
        </is>
      </c>
      <c r="F4" s="3" t="inlineStr">
        <is>
          <t>Date livraison réelle</t>
        </is>
      </c>
      <c r="G4" s="3" t="inlineStr">
        <is>
          <t>Statut transporteur (brut)</t>
        </is>
      </c>
      <c r="H4" s="3" t="inlineStr">
        <is>
          <t>Statut normalisé</t>
        </is>
      </c>
      <c r="I4" s="3" t="inlineStr">
        <is>
          <t>Jours de retard</t>
        </is>
      </c>
      <c r="J4" s="3" t="inlineStr">
        <is>
          <t>Commentaire</t>
        </is>
      </c>
    </row>
    <row r="5">
      <c r="A5" s="4" t="inlineStr">
        <is>
          <t>CMD-26754</t>
        </is>
      </c>
      <c r="B5" s="4" t="inlineStr">
        <is>
          <t>SPD</t>
        </is>
      </c>
      <c r="C5" s="5" t="inlineStr">
        <is>
          <t>https://www.speed-distribution.fr/veolog?code=3016612090015FBL&amp;tn=FR26754</t>
        </is>
      </c>
      <c r="D5" s="6" t="n">
        <v>46213</v>
      </c>
      <c r="E5" s="6" t="n">
        <v>46218</v>
      </c>
      <c r="F5" s="6" t="inlineStr"/>
      <c r="G5" s="4" t="inlineStr">
        <is>
          <t>En cours de livraison</t>
        </is>
      </c>
      <c r="H5" s="7">
        <f>IF($G5="","",IF(OR(ISNUMBER(SEARCH("incident",$G5)),ISNUMBER(SEARCH("anomalie",$G5)),ISNUMBER(SEARCH("avarie",$G5)),ISNUMBER(SEARCH("refus",$G5)),ISNUMBER(SEARCH("retour",$G5)),ISNUMBER(SEARCH("litige",$G5)),ISNUMBER(SEARCH("perdu",$G5)),ISNUMBER(SEARCH("endommag",$G5))),"Incident",IF(OR($F5&lt;&gt;"",ISNUMBER(SEARCH("livré",$G5)),ISNUMBER(SEARCH("livrée",$G5)),ISNUMBER(SEARCH("delivered",$G5)),ISNUMBER(SEARCH("remis",$G5))),"Livré",IF(AND($E5&lt;&gt;"",$E5&lt;TODAY()),"En retard","En cours"))))</f>
        <v/>
      </c>
      <c r="I5" s="8">
        <f>IF($H5="En retard",TODAY()-$E5,IF(AND($H5="Livré",$E5&lt;&gt;"",$F5&lt;&gt;"",$F5&gt;$E5),$F5-$E5,0))</f>
        <v/>
      </c>
      <c r="J5" s="5" t="inlineStr">
        <is>
          <t>Exemple</t>
        </is>
      </c>
    </row>
    <row r="6">
      <c r="A6" s="4" t="inlineStr">
        <is>
          <t>CMD-26760</t>
        </is>
      </c>
      <c r="B6" s="4" t="inlineStr">
        <is>
          <t>SPD</t>
        </is>
      </c>
      <c r="C6" s="5" t="inlineStr">
        <is>
          <t>https://www.speed-distribution.fr/veolog?code=3016612090015FBL&amp;tn=FR26760</t>
        </is>
      </c>
      <c r="D6" s="6" t="n">
        <v>46214</v>
      </c>
      <c r="E6" s="6" t="n">
        <v>46219</v>
      </c>
      <c r="F6" s="6" t="n">
        <v>46219</v>
      </c>
      <c r="G6" s="4" t="inlineStr">
        <is>
          <t>Livré - signé</t>
        </is>
      </c>
      <c r="H6" s="7">
        <f>IF($G6="","",IF(OR(ISNUMBER(SEARCH("incident",$G6)),ISNUMBER(SEARCH("anomalie",$G6)),ISNUMBER(SEARCH("avarie",$G6)),ISNUMBER(SEARCH("refus",$G6)),ISNUMBER(SEARCH("retour",$G6)),ISNUMBER(SEARCH("litige",$G6)),ISNUMBER(SEARCH("perdu",$G6)),ISNUMBER(SEARCH("endommag",$G6))),"Incident",IF(OR($F6&lt;&gt;"",ISNUMBER(SEARCH("livré",$G6)),ISNUMBER(SEARCH("livrée",$G6)),ISNUMBER(SEARCH("delivered",$G6)),ISNUMBER(SEARCH("remis",$G6))),"Livré",IF(AND($E6&lt;&gt;"",$E6&lt;TODAY()),"En retard","En cours"))))</f>
        <v/>
      </c>
      <c r="I6" s="8">
        <f>IF($H6="En retard",TODAY()-$E6,IF(AND($H6="Livré",$E6&lt;&gt;"",$F6&lt;&gt;"",$F6&gt;$E6),$F6-$E6,0))</f>
        <v/>
      </c>
      <c r="J6" s="5" t="inlineStr">
        <is>
          <t>Exemple</t>
        </is>
      </c>
    </row>
    <row r="7">
      <c r="A7" s="4" t="inlineStr">
        <is>
          <t>CMD-JOY01</t>
        </is>
      </c>
      <c r="B7" s="4" t="inlineStr">
        <is>
          <t>JOY</t>
        </is>
      </c>
      <c r="C7" s="5" t="inlineStr">
        <is>
          <t>https://eschenker.dbschenker.com/app/tracking-public/?refType=ShippersRefNo&amp;refNumber=kUNmSwaPlEGMoX11x</t>
        </is>
      </c>
      <c r="D7" s="6" t="n">
        <v>46211</v>
      </c>
      <c r="E7" s="6" t="n">
        <v>46215</v>
      </c>
      <c r="F7" s="6" t="inlineStr"/>
      <c r="G7" s="4" t="inlineStr">
        <is>
          <t>En transit</t>
        </is>
      </c>
      <c r="H7" s="7">
        <f>IF($G7="","",IF(OR(ISNUMBER(SEARCH("incident",$G7)),ISNUMBER(SEARCH("anomalie",$G7)),ISNUMBER(SEARCH("avarie",$G7)),ISNUMBER(SEARCH("refus",$G7)),ISNUMBER(SEARCH("retour",$G7)),ISNUMBER(SEARCH("litige",$G7)),ISNUMBER(SEARCH("perdu",$G7)),ISNUMBER(SEARCH("endommag",$G7))),"Incident",IF(OR($F7&lt;&gt;"",ISNUMBER(SEARCH("livré",$G7)),ISNUMBER(SEARCH("livrée",$G7)),ISNUMBER(SEARCH("delivered",$G7)),ISNUMBER(SEARCH("remis",$G7))),"Livré",IF(AND($E7&lt;&gt;"",$E7&lt;TODAY()),"En retard","En cours"))))</f>
        <v/>
      </c>
      <c r="I7" s="8">
        <f>IF($H7="En retard",TODAY()-$E7,IF(AND($H7="Livré",$E7&lt;&gt;"",$F7&lt;&gt;"",$F7&gt;$E7),$F7-$E7,0))</f>
        <v/>
      </c>
      <c r="J7" s="5" t="inlineStr">
        <is>
          <t>Exemple (en retard)</t>
        </is>
      </c>
    </row>
    <row r="8">
      <c r="A8" s="4" t="inlineStr">
        <is>
          <t>CMD-HEP01</t>
        </is>
      </c>
      <c r="B8" s="4" t="inlineStr">
        <is>
          <t>HEP</t>
        </is>
      </c>
      <c r="C8" s="5" t="inlineStr">
        <is>
          <t>https://myportal.heppner-group.com/tracking/UOEyNjE3MyYzMzEyMCZGUg%3D%3D</t>
        </is>
      </c>
      <c r="D8" s="6" t="n">
        <v>46208</v>
      </c>
      <c r="E8" s="6" t="n">
        <v>46213</v>
      </c>
      <c r="F8" s="6" t="inlineStr"/>
      <c r="G8" s="4" t="inlineStr">
        <is>
          <t>Anomalie - retour dépôt</t>
        </is>
      </c>
      <c r="H8" s="7">
        <f>IF($G8="","",IF(OR(ISNUMBER(SEARCH("incident",$G8)),ISNUMBER(SEARCH("anomalie",$G8)),ISNUMBER(SEARCH("avarie",$G8)),ISNUMBER(SEARCH("refus",$G8)),ISNUMBER(SEARCH("retour",$G8)),ISNUMBER(SEARCH("litige",$G8)),ISNUMBER(SEARCH("perdu",$G8)),ISNUMBER(SEARCH("endommag",$G8))),"Incident",IF(OR($F8&lt;&gt;"",ISNUMBER(SEARCH("livré",$G8)),ISNUMBER(SEARCH("livrée",$G8)),ISNUMBER(SEARCH("delivered",$G8)),ISNUMBER(SEARCH("remis",$G8))),"Livré",IF(AND($E8&lt;&gt;"",$E8&lt;TODAY()),"En retard","En cours"))))</f>
        <v/>
      </c>
      <c r="I8" s="8">
        <f>IF($H8="En retard",TODAY()-$E8,IF(AND($H8="Livré",$E8&lt;&gt;"",$F8&lt;&gt;"",$F8&gt;$E8),$F8-$E8,0))</f>
        <v/>
      </c>
      <c r="J8" s="5" t="inlineStr">
        <is>
          <t>Exemple (incident)</t>
        </is>
      </c>
    </row>
    <row r="9">
      <c r="A9" s="4" t="inlineStr">
        <is>
          <t>CMD-VCV01</t>
        </is>
      </c>
      <c r="B9" s="4" t="inlineStr">
        <is>
          <t>VCV</t>
        </is>
      </c>
      <c r="C9" s="5" t="inlineStr">
        <is>
          <t>http://vcv.teliway.com/suivicolis-...&amp;sReference=sn6s4YkQQOVOaojZp</t>
        </is>
      </c>
      <c r="D9" s="6" t="n">
        <v>46212</v>
      </c>
      <c r="E9" s="6" t="n">
        <v>46216</v>
      </c>
      <c r="F9" s="6" t="inlineStr"/>
      <c r="G9" s="4" t="inlineStr">
        <is>
          <t>En cours d'acheminement</t>
        </is>
      </c>
      <c r="H9" s="7">
        <f>IF($G9="","",IF(OR(ISNUMBER(SEARCH("incident",$G9)),ISNUMBER(SEARCH("anomalie",$G9)),ISNUMBER(SEARCH("avarie",$G9)),ISNUMBER(SEARCH("refus",$G9)),ISNUMBER(SEARCH("retour",$G9)),ISNUMBER(SEARCH("litige",$G9)),ISNUMBER(SEARCH("perdu",$G9)),ISNUMBER(SEARCH("endommag",$G9))),"Incident",IF(OR($F9&lt;&gt;"",ISNUMBER(SEARCH("livré",$G9)),ISNUMBER(SEARCH("livrée",$G9)),ISNUMBER(SEARCH("delivered",$G9)),ISNUMBER(SEARCH("remis",$G9))),"Livré",IF(AND($E9&lt;&gt;"",$E9&lt;TODAY()),"En retard","En cours"))))</f>
        <v/>
      </c>
      <c r="I9" s="8">
        <f>IF($H9="En retard",TODAY()-$E9,IF(AND($H9="Livré",$E9&lt;&gt;"",$F9&lt;&gt;"",$F9&gt;$E9),$F9-$E9,0))</f>
        <v/>
      </c>
      <c r="J9" s="5" t="inlineStr">
        <is>
          <t>Exemple</t>
        </is>
      </c>
    </row>
    <row r="10">
      <c r="A10" s="4" t="inlineStr"/>
      <c r="B10" s="4" t="inlineStr"/>
      <c r="C10" s="5" t="inlineStr"/>
      <c r="D10" s="6" t="inlineStr"/>
      <c r="E10" s="6" t="inlineStr"/>
      <c r="F10" s="6" t="inlineStr"/>
      <c r="G10" s="4" t="inlineStr"/>
      <c r="H10" s="7">
        <f>IF($G10="","",IF(OR(ISNUMBER(SEARCH("incident",$G10)),ISNUMBER(SEARCH("anomalie",$G10)),ISNUMBER(SEARCH("avarie",$G10)),ISNUMBER(SEARCH("refus",$G10)),ISNUMBER(SEARCH("retour",$G10)),ISNUMBER(SEARCH("litige",$G10)),ISNUMBER(SEARCH("perdu",$G10)),ISNUMBER(SEARCH("endommag",$G10))),"Incident",IF(OR($F10&lt;&gt;"",ISNUMBER(SEARCH("livré",$G10)),ISNUMBER(SEARCH("livrée",$G10)),ISNUMBER(SEARCH("delivered",$G10)),ISNUMBER(SEARCH("remis",$G10))),"Livré",IF(AND($E10&lt;&gt;"",$E10&lt;TODAY()),"En retard","En cours"))))</f>
        <v/>
      </c>
      <c r="I10" s="8">
        <f>IF($H10="En retard",TODAY()-$E10,IF(AND($H10="Livré",$E10&lt;&gt;"",$F10&lt;&gt;"",$F10&gt;$E10),$F10-$E10,0))</f>
        <v/>
      </c>
      <c r="J10" s="5" t="inlineStr"/>
    </row>
    <row r="11">
      <c r="A11" s="4" t="inlineStr"/>
      <c r="B11" s="4" t="inlineStr"/>
      <c r="C11" s="5" t="inlineStr"/>
      <c r="D11" s="6" t="inlineStr"/>
      <c r="E11" s="6" t="inlineStr"/>
      <c r="F11" s="6" t="inlineStr"/>
      <c r="G11" s="4" t="inlineStr"/>
      <c r="H11" s="7">
        <f>IF($G11="","",IF(OR(ISNUMBER(SEARCH("incident",$G11)),ISNUMBER(SEARCH("anomalie",$G11)),ISNUMBER(SEARCH("avarie",$G11)),ISNUMBER(SEARCH("refus",$G11)),ISNUMBER(SEARCH("retour",$G11)),ISNUMBER(SEARCH("litige",$G11)),ISNUMBER(SEARCH("perdu",$G11)),ISNUMBER(SEARCH("endommag",$G11))),"Incident",IF(OR($F11&lt;&gt;"",ISNUMBER(SEARCH("livré",$G11)),ISNUMBER(SEARCH("livrée",$G11)),ISNUMBER(SEARCH("delivered",$G11)),ISNUMBER(SEARCH("remis",$G11))),"Livré",IF(AND($E11&lt;&gt;"",$E11&lt;TODAY()),"En retard","En cours"))))</f>
        <v/>
      </c>
      <c r="I11" s="8">
        <f>IF($H11="En retard",TODAY()-$E11,IF(AND($H11="Livré",$E11&lt;&gt;"",$F11&lt;&gt;"",$F11&gt;$E11),$F11-$E11,0))</f>
        <v/>
      </c>
      <c r="J11" s="5" t="inlineStr"/>
    </row>
    <row r="12">
      <c r="A12" s="4" t="inlineStr"/>
      <c r="B12" s="4" t="inlineStr"/>
      <c r="C12" s="5" t="inlineStr"/>
      <c r="D12" s="6" t="inlineStr"/>
      <c r="E12" s="6" t="inlineStr"/>
      <c r="F12" s="6" t="inlineStr"/>
      <c r="G12" s="4" t="inlineStr"/>
      <c r="H12" s="7">
        <f>IF($G12="","",IF(OR(ISNUMBER(SEARCH("incident",$G12)),ISNUMBER(SEARCH("anomalie",$G12)),ISNUMBER(SEARCH("avarie",$G12)),ISNUMBER(SEARCH("refus",$G12)),ISNUMBER(SEARCH("retour",$G12)),ISNUMBER(SEARCH("litige",$G12)),ISNUMBER(SEARCH("perdu",$G12)),ISNUMBER(SEARCH("endommag",$G12))),"Incident",IF(OR($F12&lt;&gt;"",ISNUMBER(SEARCH("livré",$G12)),ISNUMBER(SEARCH("livrée",$G12)),ISNUMBER(SEARCH("delivered",$G12)),ISNUMBER(SEARCH("remis",$G12))),"Livré",IF(AND($E12&lt;&gt;"",$E12&lt;TODAY()),"En retard","En cours"))))</f>
        <v/>
      </c>
      <c r="I12" s="8">
        <f>IF($H12="En retard",TODAY()-$E12,IF(AND($H12="Livré",$E12&lt;&gt;"",$F12&lt;&gt;"",$F12&gt;$E12),$F12-$E12,0))</f>
        <v/>
      </c>
      <c r="J12" s="5" t="inlineStr"/>
    </row>
    <row r="13">
      <c r="A13" s="4" t="inlineStr"/>
      <c r="B13" s="4" t="inlineStr"/>
      <c r="C13" s="5" t="inlineStr"/>
      <c r="D13" s="6" t="inlineStr"/>
      <c r="E13" s="6" t="inlineStr"/>
      <c r="F13" s="6" t="inlineStr"/>
      <c r="G13" s="4" t="inlineStr"/>
      <c r="H13" s="7">
        <f>IF($G13="","",IF(OR(ISNUMBER(SEARCH("incident",$G13)),ISNUMBER(SEARCH("anomalie",$G13)),ISNUMBER(SEARCH("avarie",$G13)),ISNUMBER(SEARCH("refus",$G13)),ISNUMBER(SEARCH("retour",$G13)),ISNUMBER(SEARCH("litige",$G13)),ISNUMBER(SEARCH("perdu",$G13)),ISNUMBER(SEARCH("endommag",$G13))),"Incident",IF(OR($F13&lt;&gt;"",ISNUMBER(SEARCH("livré",$G13)),ISNUMBER(SEARCH("livrée",$G13)),ISNUMBER(SEARCH("delivered",$G13)),ISNUMBER(SEARCH("remis",$G13))),"Livré",IF(AND($E13&lt;&gt;"",$E13&lt;TODAY()),"En retard","En cours"))))</f>
        <v/>
      </c>
      <c r="I13" s="8">
        <f>IF($H13="En retard",TODAY()-$E13,IF(AND($H13="Livré",$E13&lt;&gt;"",$F13&lt;&gt;"",$F13&gt;$E13),$F13-$E13,0))</f>
        <v/>
      </c>
      <c r="J13" s="5" t="inlineStr"/>
    </row>
    <row r="14">
      <c r="A14" s="4" t="inlineStr"/>
      <c r="B14" s="4" t="inlineStr"/>
      <c r="C14" s="5" t="inlineStr"/>
      <c r="D14" s="6" t="inlineStr"/>
      <c r="E14" s="6" t="inlineStr"/>
      <c r="F14" s="6" t="inlineStr"/>
      <c r="G14" s="4" t="inlineStr"/>
      <c r="H14" s="7">
        <f>IF($G14="","",IF(OR(ISNUMBER(SEARCH("incident",$G14)),ISNUMBER(SEARCH("anomalie",$G14)),ISNUMBER(SEARCH("avarie",$G14)),ISNUMBER(SEARCH("refus",$G14)),ISNUMBER(SEARCH("retour",$G14)),ISNUMBER(SEARCH("litige",$G14)),ISNUMBER(SEARCH("perdu",$G14)),ISNUMBER(SEARCH("endommag",$G14))),"Incident",IF(OR($F14&lt;&gt;"",ISNUMBER(SEARCH("livré",$G14)),ISNUMBER(SEARCH("livrée",$G14)),ISNUMBER(SEARCH("delivered",$G14)),ISNUMBER(SEARCH("remis",$G14))),"Livré",IF(AND($E14&lt;&gt;"",$E14&lt;TODAY()),"En retard","En cours"))))</f>
        <v/>
      </c>
      <c r="I14" s="8">
        <f>IF($H14="En retard",TODAY()-$E14,IF(AND($H14="Livré",$E14&lt;&gt;"",$F14&lt;&gt;"",$F14&gt;$E14),$F14-$E14,0))</f>
        <v/>
      </c>
      <c r="J14" s="5" t="inlineStr"/>
    </row>
    <row r="15">
      <c r="A15" s="4" t="inlineStr"/>
      <c r="B15" s="4" t="inlineStr"/>
      <c r="C15" s="5" t="inlineStr"/>
      <c r="D15" s="6" t="inlineStr"/>
      <c r="E15" s="6" t="inlineStr"/>
      <c r="F15" s="6" t="inlineStr"/>
      <c r="G15" s="4" t="inlineStr"/>
      <c r="H15" s="7">
        <f>IF($G15="","",IF(OR(ISNUMBER(SEARCH("incident",$G15)),ISNUMBER(SEARCH("anomalie",$G15)),ISNUMBER(SEARCH("avarie",$G15)),ISNUMBER(SEARCH("refus",$G15)),ISNUMBER(SEARCH("retour",$G15)),ISNUMBER(SEARCH("litige",$G15)),ISNUMBER(SEARCH("perdu",$G15)),ISNUMBER(SEARCH("endommag",$G15))),"Incident",IF(OR($F15&lt;&gt;"",ISNUMBER(SEARCH("livré",$G15)),ISNUMBER(SEARCH("livrée",$G15)),ISNUMBER(SEARCH("delivered",$G15)),ISNUMBER(SEARCH("remis",$G15))),"Livré",IF(AND($E15&lt;&gt;"",$E15&lt;TODAY()),"En retard","En cours"))))</f>
        <v/>
      </c>
      <c r="I15" s="8">
        <f>IF($H15="En retard",TODAY()-$E15,IF(AND($H15="Livré",$E15&lt;&gt;"",$F15&lt;&gt;"",$F15&gt;$E15),$F15-$E15,0))</f>
        <v/>
      </c>
      <c r="J15" s="5" t="inlineStr"/>
    </row>
    <row r="16">
      <c r="A16" s="4" t="inlineStr"/>
      <c r="B16" s="4" t="inlineStr"/>
      <c r="C16" s="5" t="inlineStr"/>
      <c r="D16" s="6" t="inlineStr"/>
      <c r="E16" s="6" t="inlineStr"/>
      <c r="F16" s="6" t="inlineStr"/>
      <c r="G16" s="4" t="inlineStr"/>
      <c r="H16" s="7">
        <f>IF($G16="","",IF(OR(ISNUMBER(SEARCH("incident",$G16)),ISNUMBER(SEARCH("anomalie",$G16)),ISNUMBER(SEARCH("avarie",$G16)),ISNUMBER(SEARCH("refus",$G16)),ISNUMBER(SEARCH("retour",$G16)),ISNUMBER(SEARCH("litige",$G16)),ISNUMBER(SEARCH("perdu",$G16)),ISNUMBER(SEARCH("endommag",$G16))),"Incident",IF(OR($F16&lt;&gt;"",ISNUMBER(SEARCH("livré",$G16)),ISNUMBER(SEARCH("livrée",$G16)),ISNUMBER(SEARCH("delivered",$G16)),ISNUMBER(SEARCH("remis",$G16))),"Livré",IF(AND($E16&lt;&gt;"",$E16&lt;TODAY()),"En retard","En cours"))))</f>
        <v/>
      </c>
      <c r="I16" s="8">
        <f>IF($H16="En retard",TODAY()-$E16,IF(AND($H16="Livré",$E16&lt;&gt;"",$F16&lt;&gt;"",$F16&gt;$E16),$F16-$E16,0))</f>
        <v/>
      </c>
      <c r="J16" s="5" t="inlineStr"/>
    </row>
    <row r="17">
      <c r="A17" s="4" t="inlineStr"/>
      <c r="B17" s="4" t="inlineStr"/>
      <c r="C17" s="5" t="inlineStr"/>
      <c r="D17" s="6" t="inlineStr"/>
      <c r="E17" s="6" t="inlineStr"/>
      <c r="F17" s="6" t="inlineStr"/>
      <c r="G17" s="4" t="inlineStr"/>
      <c r="H17" s="7">
        <f>IF($G17="","",IF(OR(ISNUMBER(SEARCH("incident",$G17)),ISNUMBER(SEARCH("anomalie",$G17)),ISNUMBER(SEARCH("avarie",$G17)),ISNUMBER(SEARCH("refus",$G17)),ISNUMBER(SEARCH("retour",$G17)),ISNUMBER(SEARCH("litige",$G17)),ISNUMBER(SEARCH("perdu",$G17)),ISNUMBER(SEARCH("endommag",$G17))),"Incident",IF(OR($F17&lt;&gt;"",ISNUMBER(SEARCH("livré",$G17)),ISNUMBER(SEARCH("livrée",$G17)),ISNUMBER(SEARCH("delivered",$G17)),ISNUMBER(SEARCH("remis",$G17))),"Livré",IF(AND($E17&lt;&gt;"",$E17&lt;TODAY()),"En retard","En cours"))))</f>
        <v/>
      </c>
      <c r="I17" s="8">
        <f>IF($H17="En retard",TODAY()-$E17,IF(AND($H17="Livré",$E17&lt;&gt;"",$F17&lt;&gt;"",$F17&gt;$E17),$F17-$E17,0))</f>
        <v/>
      </c>
      <c r="J17" s="5" t="inlineStr"/>
    </row>
    <row r="18">
      <c r="A18" s="4" t="inlineStr"/>
      <c r="B18" s="4" t="inlineStr"/>
      <c r="C18" s="5" t="inlineStr"/>
      <c r="D18" s="6" t="inlineStr"/>
      <c r="E18" s="6" t="inlineStr"/>
      <c r="F18" s="6" t="inlineStr"/>
      <c r="G18" s="4" t="inlineStr"/>
      <c r="H18" s="7">
        <f>IF($G18="","",IF(OR(ISNUMBER(SEARCH("incident",$G18)),ISNUMBER(SEARCH("anomalie",$G18)),ISNUMBER(SEARCH("avarie",$G18)),ISNUMBER(SEARCH("refus",$G18)),ISNUMBER(SEARCH("retour",$G18)),ISNUMBER(SEARCH("litige",$G18)),ISNUMBER(SEARCH("perdu",$G18)),ISNUMBER(SEARCH("endommag",$G18))),"Incident",IF(OR($F18&lt;&gt;"",ISNUMBER(SEARCH("livré",$G18)),ISNUMBER(SEARCH("livrée",$G18)),ISNUMBER(SEARCH("delivered",$G18)),ISNUMBER(SEARCH("remis",$G18))),"Livré",IF(AND($E18&lt;&gt;"",$E18&lt;TODAY()),"En retard","En cours"))))</f>
        <v/>
      </c>
      <c r="I18" s="8">
        <f>IF($H18="En retard",TODAY()-$E18,IF(AND($H18="Livré",$E18&lt;&gt;"",$F18&lt;&gt;"",$F18&gt;$E18),$F18-$E18,0))</f>
        <v/>
      </c>
      <c r="J18" s="5" t="inlineStr"/>
    </row>
    <row r="19">
      <c r="A19" s="4" t="inlineStr"/>
      <c r="B19" s="4" t="inlineStr"/>
      <c r="C19" s="5" t="inlineStr"/>
      <c r="D19" s="6" t="inlineStr"/>
      <c r="E19" s="6" t="inlineStr"/>
      <c r="F19" s="6" t="inlineStr"/>
      <c r="G19" s="4" t="inlineStr"/>
      <c r="H19" s="7">
        <f>IF($G19="","",IF(OR(ISNUMBER(SEARCH("incident",$G19)),ISNUMBER(SEARCH("anomalie",$G19)),ISNUMBER(SEARCH("avarie",$G19)),ISNUMBER(SEARCH("refus",$G19)),ISNUMBER(SEARCH("retour",$G19)),ISNUMBER(SEARCH("litige",$G19)),ISNUMBER(SEARCH("perdu",$G19)),ISNUMBER(SEARCH("endommag",$G19))),"Incident",IF(OR($F19&lt;&gt;"",ISNUMBER(SEARCH("livré",$G19)),ISNUMBER(SEARCH("livrée",$G19)),ISNUMBER(SEARCH("delivered",$G19)),ISNUMBER(SEARCH("remis",$G19))),"Livré",IF(AND($E19&lt;&gt;"",$E19&lt;TODAY()),"En retard","En cours"))))</f>
        <v/>
      </c>
      <c r="I19" s="8">
        <f>IF($H19="En retard",TODAY()-$E19,IF(AND($H19="Livré",$E19&lt;&gt;"",$F19&lt;&gt;"",$F19&gt;$E19),$F19-$E19,0))</f>
        <v/>
      </c>
      <c r="J19" s="5" t="inlineStr"/>
    </row>
    <row r="20">
      <c r="A20" s="4" t="inlineStr"/>
      <c r="B20" s="4" t="inlineStr"/>
      <c r="C20" s="5" t="inlineStr"/>
      <c r="D20" s="6" t="inlineStr"/>
      <c r="E20" s="6" t="inlineStr"/>
      <c r="F20" s="6" t="inlineStr"/>
      <c r="G20" s="4" t="inlineStr"/>
      <c r="H20" s="7">
        <f>IF($G20="","",IF(OR(ISNUMBER(SEARCH("incident",$G20)),ISNUMBER(SEARCH("anomalie",$G20)),ISNUMBER(SEARCH("avarie",$G20)),ISNUMBER(SEARCH("refus",$G20)),ISNUMBER(SEARCH("retour",$G20)),ISNUMBER(SEARCH("litige",$G20)),ISNUMBER(SEARCH("perdu",$G20)),ISNUMBER(SEARCH("endommag",$G20))),"Incident",IF(OR($F20&lt;&gt;"",ISNUMBER(SEARCH("livré",$G20)),ISNUMBER(SEARCH("livrée",$G20)),ISNUMBER(SEARCH("delivered",$G20)),ISNUMBER(SEARCH("remis",$G20))),"Livré",IF(AND($E20&lt;&gt;"",$E20&lt;TODAY()),"En retard","En cours"))))</f>
        <v/>
      </c>
      <c r="I20" s="8">
        <f>IF($H20="En retard",TODAY()-$E20,IF(AND($H20="Livré",$E20&lt;&gt;"",$F20&lt;&gt;"",$F20&gt;$E20),$F20-$E20,0))</f>
        <v/>
      </c>
      <c r="J20" s="5" t="inlineStr"/>
    </row>
    <row r="21">
      <c r="A21" s="4" t="inlineStr"/>
      <c r="B21" s="4" t="inlineStr"/>
      <c r="C21" s="5" t="inlineStr"/>
      <c r="D21" s="6" t="inlineStr"/>
      <c r="E21" s="6" t="inlineStr"/>
      <c r="F21" s="6" t="inlineStr"/>
      <c r="G21" s="4" t="inlineStr"/>
      <c r="H21" s="7">
        <f>IF($G21="","",IF(OR(ISNUMBER(SEARCH("incident",$G21)),ISNUMBER(SEARCH("anomalie",$G21)),ISNUMBER(SEARCH("avarie",$G21)),ISNUMBER(SEARCH("refus",$G21)),ISNUMBER(SEARCH("retour",$G21)),ISNUMBER(SEARCH("litige",$G21)),ISNUMBER(SEARCH("perdu",$G21)),ISNUMBER(SEARCH("endommag",$G21))),"Incident",IF(OR($F21&lt;&gt;"",ISNUMBER(SEARCH("livré",$G21)),ISNUMBER(SEARCH("livrée",$G21)),ISNUMBER(SEARCH("delivered",$G21)),ISNUMBER(SEARCH("remis",$G21))),"Livré",IF(AND($E21&lt;&gt;"",$E21&lt;TODAY()),"En retard","En cours"))))</f>
        <v/>
      </c>
      <c r="I21" s="8">
        <f>IF($H21="En retard",TODAY()-$E21,IF(AND($H21="Livré",$E21&lt;&gt;"",$F21&lt;&gt;"",$F21&gt;$E21),$F21-$E21,0))</f>
        <v/>
      </c>
      <c r="J21" s="5" t="inlineStr"/>
    </row>
    <row r="22">
      <c r="A22" s="4" t="inlineStr"/>
      <c r="B22" s="4" t="inlineStr"/>
      <c r="C22" s="5" t="inlineStr"/>
      <c r="D22" s="6" t="inlineStr"/>
      <c r="E22" s="6" t="inlineStr"/>
      <c r="F22" s="6" t="inlineStr"/>
      <c r="G22" s="4" t="inlineStr"/>
      <c r="H22" s="7">
        <f>IF($G22="","",IF(OR(ISNUMBER(SEARCH("incident",$G22)),ISNUMBER(SEARCH("anomalie",$G22)),ISNUMBER(SEARCH("avarie",$G22)),ISNUMBER(SEARCH("refus",$G22)),ISNUMBER(SEARCH("retour",$G22)),ISNUMBER(SEARCH("litige",$G22)),ISNUMBER(SEARCH("perdu",$G22)),ISNUMBER(SEARCH("endommag",$G22))),"Incident",IF(OR($F22&lt;&gt;"",ISNUMBER(SEARCH("livré",$G22)),ISNUMBER(SEARCH("livrée",$G22)),ISNUMBER(SEARCH("delivered",$G22)),ISNUMBER(SEARCH("remis",$G22))),"Livré",IF(AND($E22&lt;&gt;"",$E22&lt;TODAY()),"En retard","En cours"))))</f>
        <v/>
      </c>
      <c r="I22" s="8">
        <f>IF($H22="En retard",TODAY()-$E22,IF(AND($H22="Livré",$E22&lt;&gt;"",$F22&lt;&gt;"",$F22&gt;$E22),$F22-$E22,0))</f>
        <v/>
      </c>
      <c r="J22" s="5" t="inlineStr"/>
    </row>
    <row r="23">
      <c r="A23" s="4" t="inlineStr"/>
      <c r="B23" s="4" t="inlineStr"/>
      <c r="C23" s="5" t="inlineStr"/>
      <c r="D23" s="6" t="inlineStr"/>
      <c r="E23" s="6" t="inlineStr"/>
      <c r="F23" s="6" t="inlineStr"/>
      <c r="G23" s="4" t="inlineStr"/>
      <c r="H23" s="7">
        <f>IF($G23="","",IF(OR(ISNUMBER(SEARCH("incident",$G23)),ISNUMBER(SEARCH("anomalie",$G23)),ISNUMBER(SEARCH("avarie",$G23)),ISNUMBER(SEARCH("refus",$G23)),ISNUMBER(SEARCH("retour",$G23)),ISNUMBER(SEARCH("litige",$G23)),ISNUMBER(SEARCH("perdu",$G23)),ISNUMBER(SEARCH("endommag",$G23))),"Incident",IF(OR($F23&lt;&gt;"",ISNUMBER(SEARCH("livré",$G23)),ISNUMBER(SEARCH("livrée",$G23)),ISNUMBER(SEARCH("delivered",$G23)),ISNUMBER(SEARCH("remis",$G23))),"Livré",IF(AND($E23&lt;&gt;"",$E23&lt;TODAY()),"En retard","En cours"))))</f>
        <v/>
      </c>
      <c r="I23" s="8">
        <f>IF($H23="En retard",TODAY()-$E23,IF(AND($H23="Livré",$E23&lt;&gt;"",$F23&lt;&gt;"",$F23&gt;$E23),$F23-$E23,0))</f>
        <v/>
      </c>
      <c r="J23" s="5" t="inlineStr"/>
    </row>
    <row r="24">
      <c r="A24" s="4" t="inlineStr"/>
      <c r="B24" s="4" t="inlineStr"/>
      <c r="C24" s="5" t="inlineStr"/>
      <c r="D24" s="6" t="inlineStr"/>
      <c r="E24" s="6" t="inlineStr"/>
      <c r="F24" s="6" t="inlineStr"/>
      <c r="G24" s="4" t="inlineStr"/>
      <c r="H24" s="7">
        <f>IF($G24="","",IF(OR(ISNUMBER(SEARCH("incident",$G24)),ISNUMBER(SEARCH("anomalie",$G24)),ISNUMBER(SEARCH("avarie",$G24)),ISNUMBER(SEARCH("refus",$G24)),ISNUMBER(SEARCH("retour",$G24)),ISNUMBER(SEARCH("litige",$G24)),ISNUMBER(SEARCH("perdu",$G24)),ISNUMBER(SEARCH("endommag",$G24))),"Incident",IF(OR($F24&lt;&gt;"",ISNUMBER(SEARCH("livré",$G24)),ISNUMBER(SEARCH("livrée",$G24)),ISNUMBER(SEARCH("delivered",$G24)),ISNUMBER(SEARCH("remis",$G24))),"Livré",IF(AND($E24&lt;&gt;"",$E24&lt;TODAY()),"En retard","En cours"))))</f>
        <v/>
      </c>
      <c r="I24" s="8">
        <f>IF($H24="En retard",TODAY()-$E24,IF(AND($H24="Livré",$E24&lt;&gt;"",$F24&lt;&gt;"",$F24&gt;$E24),$F24-$E24,0))</f>
        <v/>
      </c>
      <c r="J24" s="5" t="inlineStr"/>
    </row>
    <row r="25">
      <c r="A25" s="4" t="inlineStr"/>
      <c r="B25" s="4" t="inlineStr"/>
      <c r="C25" s="5" t="inlineStr"/>
      <c r="D25" s="6" t="inlineStr"/>
      <c r="E25" s="6" t="inlineStr"/>
      <c r="F25" s="6" t="inlineStr"/>
      <c r="G25" s="4" t="inlineStr"/>
      <c r="H25" s="7">
        <f>IF($G25="","",IF(OR(ISNUMBER(SEARCH("incident",$G25)),ISNUMBER(SEARCH("anomalie",$G25)),ISNUMBER(SEARCH("avarie",$G25)),ISNUMBER(SEARCH("refus",$G25)),ISNUMBER(SEARCH("retour",$G25)),ISNUMBER(SEARCH("litige",$G25)),ISNUMBER(SEARCH("perdu",$G25)),ISNUMBER(SEARCH("endommag",$G25))),"Incident",IF(OR($F25&lt;&gt;"",ISNUMBER(SEARCH("livré",$G25)),ISNUMBER(SEARCH("livrée",$G25)),ISNUMBER(SEARCH("delivered",$G25)),ISNUMBER(SEARCH("remis",$G25))),"Livré",IF(AND($E25&lt;&gt;"",$E25&lt;TODAY()),"En retard","En cours"))))</f>
        <v/>
      </c>
      <c r="I25" s="8">
        <f>IF($H25="En retard",TODAY()-$E25,IF(AND($H25="Livré",$E25&lt;&gt;"",$F25&lt;&gt;"",$F25&gt;$E25),$F25-$E25,0))</f>
        <v/>
      </c>
      <c r="J25" s="5" t="inlineStr"/>
    </row>
    <row r="26">
      <c r="A26" s="4" t="inlineStr"/>
      <c r="B26" s="4" t="inlineStr"/>
      <c r="C26" s="5" t="inlineStr"/>
      <c r="D26" s="6" t="inlineStr"/>
      <c r="E26" s="6" t="inlineStr"/>
      <c r="F26" s="6" t="inlineStr"/>
      <c r="G26" s="4" t="inlineStr"/>
      <c r="H26" s="7">
        <f>IF($G26="","",IF(OR(ISNUMBER(SEARCH("incident",$G26)),ISNUMBER(SEARCH("anomalie",$G26)),ISNUMBER(SEARCH("avarie",$G26)),ISNUMBER(SEARCH("refus",$G26)),ISNUMBER(SEARCH("retour",$G26)),ISNUMBER(SEARCH("litige",$G26)),ISNUMBER(SEARCH("perdu",$G26)),ISNUMBER(SEARCH("endommag",$G26))),"Incident",IF(OR($F26&lt;&gt;"",ISNUMBER(SEARCH("livré",$G26)),ISNUMBER(SEARCH("livrée",$G26)),ISNUMBER(SEARCH("delivered",$G26)),ISNUMBER(SEARCH("remis",$G26))),"Livré",IF(AND($E26&lt;&gt;"",$E26&lt;TODAY()),"En retard","En cours"))))</f>
        <v/>
      </c>
      <c r="I26" s="8">
        <f>IF($H26="En retard",TODAY()-$E26,IF(AND($H26="Livré",$E26&lt;&gt;"",$F26&lt;&gt;"",$F26&gt;$E26),$F26-$E26,0))</f>
        <v/>
      </c>
      <c r="J26" s="5" t="inlineStr"/>
    </row>
    <row r="27">
      <c r="A27" s="4" t="inlineStr"/>
      <c r="B27" s="4" t="inlineStr"/>
      <c r="C27" s="5" t="inlineStr"/>
      <c r="D27" s="6" t="inlineStr"/>
      <c r="E27" s="6" t="inlineStr"/>
      <c r="F27" s="6" t="inlineStr"/>
      <c r="G27" s="4" t="inlineStr"/>
      <c r="H27" s="7">
        <f>IF($G27="","",IF(OR(ISNUMBER(SEARCH("incident",$G27)),ISNUMBER(SEARCH("anomalie",$G27)),ISNUMBER(SEARCH("avarie",$G27)),ISNUMBER(SEARCH("refus",$G27)),ISNUMBER(SEARCH("retour",$G27)),ISNUMBER(SEARCH("litige",$G27)),ISNUMBER(SEARCH("perdu",$G27)),ISNUMBER(SEARCH("endommag",$G27))),"Incident",IF(OR($F27&lt;&gt;"",ISNUMBER(SEARCH("livré",$G27)),ISNUMBER(SEARCH("livrée",$G27)),ISNUMBER(SEARCH("delivered",$G27)),ISNUMBER(SEARCH("remis",$G27))),"Livré",IF(AND($E27&lt;&gt;"",$E27&lt;TODAY()),"En retard","En cours"))))</f>
        <v/>
      </c>
      <c r="I27" s="8">
        <f>IF($H27="En retard",TODAY()-$E27,IF(AND($H27="Livré",$E27&lt;&gt;"",$F27&lt;&gt;"",$F27&gt;$E27),$F27-$E27,0))</f>
        <v/>
      </c>
      <c r="J27" s="5" t="inlineStr"/>
    </row>
    <row r="28">
      <c r="A28" s="4" t="inlineStr"/>
      <c r="B28" s="4" t="inlineStr"/>
      <c r="C28" s="5" t="inlineStr"/>
      <c r="D28" s="6" t="inlineStr"/>
      <c r="E28" s="6" t="inlineStr"/>
      <c r="F28" s="6" t="inlineStr"/>
      <c r="G28" s="4" t="inlineStr"/>
      <c r="H28" s="7">
        <f>IF($G28="","",IF(OR(ISNUMBER(SEARCH("incident",$G28)),ISNUMBER(SEARCH("anomalie",$G28)),ISNUMBER(SEARCH("avarie",$G28)),ISNUMBER(SEARCH("refus",$G28)),ISNUMBER(SEARCH("retour",$G28)),ISNUMBER(SEARCH("litige",$G28)),ISNUMBER(SEARCH("perdu",$G28)),ISNUMBER(SEARCH("endommag",$G28))),"Incident",IF(OR($F28&lt;&gt;"",ISNUMBER(SEARCH("livré",$G28)),ISNUMBER(SEARCH("livrée",$G28)),ISNUMBER(SEARCH("delivered",$G28)),ISNUMBER(SEARCH("remis",$G28))),"Livré",IF(AND($E28&lt;&gt;"",$E28&lt;TODAY()),"En retard","En cours"))))</f>
        <v/>
      </c>
      <c r="I28" s="8">
        <f>IF($H28="En retard",TODAY()-$E28,IF(AND($H28="Livré",$E28&lt;&gt;"",$F28&lt;&gt;"",$F28&gt;$E28),$F28-$E28,0))</f>
        <v/>
      </c>
      <c r="J28" s="5" t="inlineStr"/>
    </row>
    <row r="29">
      <c r="A29" s="4" t="inlineStr"/>
      <c r="B29" s="4" t="inlineStr"/>
      <c r="C29" s="5" t="inlineStr"/>
      <c r="D29" s="6" t="inlineStr"/>
      <c r="E29" s="6" t="inlineStr"/>
      <c r="F29" s="6" t="inlineStr"/>
      <c r="G29" s="4" t="inlineStr"/>
      <c r="H29" s="7">
        <f>IF($G29="","",IF(OR(ISNUMBER(SEARCH("incident",$G29)),ISNUMBER(SEARCH("anomalie",$G29)),ISNUMBER(SEARCH("avarie",$G29)),ISNUMBER(SEARCH("refus",$G29)),ISNUMBER(SEARCH("retour",$G29)),ISNUMBER(SEARCH("litige",$G29)),ISNUMBER(SEARCH("perdu",$G29)),ISNUMBER(SEARCH("endommag",$G29))),"Incident",IF(OR($F29&lt;&gt;"",ISNUMBER(SEARCH("livré",$G29)),ISNUMBER(SEARCH("livrée",$G29)),ISNUMBER(SEARCH("delivered",$G29)),ISNUMBER(SEARCH("remis",$G29))),"Livré",IF(AND($E29&lt;&gt;"",$E29&lt;TODAY()),"En retard","En cours"))))</f>
        <v/>
      </c>
      <c r="I29" s="8">
        <f>IF($H29="En retard",TODAY()-$E29,IF(AND($H29="Livré",$E29&lt;&gt;"",$F29&lt;&gt;"",$F29&gt;$E29),$F29-$E29,0))</f>
        <v/>
      </c>
      <c r="J29" s="5" t="inlineStr"/>
    </row>
    <row r="30">
      <c r="A30" s="4" t="inlineStr"/>
      <c r="B30" s="4" t="inlineStr"/>
      <c r="C30" s="5" t="inlineStr"/>
      <c r="D30" s="6" t="inlineStr"/>
      <c r="E30" s="6" t="inlineStr"/>
      <c r="F30" s="6" t="inlineStr"/>
      <c r="G30" s="4" t="inlineStr"/>
      <c r="H30" s="7">
        <f>IF($G30="","",IF(OR(ISNUMBER(SEARCH("incident",$G30)),ISNUMBER(SEARCH("anomalie",$G30)),ISNUMBER(SEARCH("avarie",$G30)),ISNUMBER(SEARCH("refus",$G30)),ISNUMBER(SEARCH("retour",$G30)),ISNUMBER(SEARCH("litige",$G30)),ISNUMBER(SEARCH("perdu",$G30)),ISNUMBER(SEARCH("endommag",$G30))),"Incident",IF(OR($F30&lt;&gt;"",ISNUMBER(SEARCH("livré",$G30)),ISNUMBER(SEARCH("livrée",$G30)),ISNUMBER(SEARCH("delivered",$G30)),ISNUMBER(SEARCH("remis",$G30))),"Livré",IF(AND($E30&lt;&gt;"",$E30&lt;TODAY()),"En retard","En cours"))))</f>
        <v/>
      </c>
      <c r="I30" s="8">
        <f>IF($H30="En retard",TODAY()-$E30,IF(AND($H30="Livré",$E30&lt;&gt;"",$F30&lt;&gt;"",$F30&gt;$E30),$F30-$E30,0))</f>
        <v/>
      </c>
      <c r="J30" s="5" t="inlineStr"/>
    </row>
    <row r="31">
      <c r="A31" s="4" t="inlineStr"/>
      <c r="B31" s="4" t="inlineStr"/>
      <c r="C31" s="5" t="inlineStr"/>
      <c r="D31" s="6" t="inlineStr"/>
      <c r="E31" s="6" t="inlineStr"/>
      <c r="F31" s="6" t="inlineStr"/>
      <c r="G31" s="4" t="inlineStr"/>
      <c r="H31" s="7">
        <f>IF($G31="","",IF(OR(ISNUMBER(SEARCH("incident",$G31)),ISNUMBER(SEARCH("anomalie",$G31)),ISNUMBER(SEARCH("avarie",$G31)),ISNUMBER(SEARCH("refus",$G31)),ISNUMBER(SEARCH("retour",$G31)),ISNUMBER(SEARCH("litige",$G31)),ISNUMBER(SEARCH("perdu",$G31)),ISNUMBER(SEARCH("endommag",$G31))),"Incident",IF(OR($F31&lt;&gt;"",ISNUMBER(SEARCH("livré",$G31)),ISNUMBER(SEARCH("livrée",$G31)),ISNUMBER(SEARCH("delivered",$G31)),ISNUMBER(SEARCH("remis",$G31))),"Livré",IF(AND($E31&lt;&gt;"",$E31&lt;TODAY()),"En retard","En cours"))))</f>
        <v/>
      </c>
      <c r="I31" s="8">
        <f>IF($H31="En retard",TODAY()-$E31,IF(AND($H31="Livré",$E31&lt;&gt;"",$F31&lt;&gt;"",$F31&gt;$E31),$F31-$E31,0))</f>
        <v/>
      </c>
      <c r="J31" s="5" t="inlineStr"/>
    </row>
    <row r="32">
      <c r="A32" s="4" t="inlineStr"/>
      <c r="B32" s="4" t="inlineStr"/>
      <c r="C32" s="5" t="inlineStr"/>
      <c r="D32" s="6" t="inlineStr"/>
      <c r="E32" s="6" t="inlineStr"/>
      <c r="F32" s="6" t="inlineStr"/>
      <c r="G32" s="4" t="inlineStr"/>
      <c r="H32" s="7">
        <f>IF($G32="","",IF(OR(ISNUMBER(SEARCH("incident",$G32)),ISNUMBER(SEARCH("anomalie",$G32)),ISNUMBER(SEARCH("avarie",$G32)),ISNUMBER(SEARCH("refus",$G32)),ISNUMBER(SEARCH("retour",$G32)),ISNUMBER(SEARCH("litige",$G32)),ISNUMBER(SEARCH("perdu",$G32)),ISNUMBER(SEARCH("endommag",$G32))),"Incident",IF(OR($F32&lt;&gt;"",ISNUMBER(SEARCH("livré",$G32)),ISNUMBER(SEARCH("livrée",$G32)),ISNUMBER(SEARCH("delivered",$G32)),ISNUMBER(SEARCH("remis",$G32))),"Livré",IF(AND($E32&lt;&gt;"",$E32&lt;TODAY()),"En retard","En cours"))))</f>
        <v/>
      </c>
      <c r="I32" s="8">
        <f>IF($H32="En retard",TODAY()-$E32,IF(AND($H32="Livré",$E32&lt;&gt;"",$F32&lt;&gt;"",$F32&gt;$E32),$F32-$E32,0))</f>
        <v/>
      </c>
      <c r="J32" s="5" t="inlineStr"/>
    </row>
    <row r="33">
      <c r="A33" s="4" t="inlineStr"/>
      <c r="B33" s="4" t="inlineStr"/>
      <c r="C33" s="5" t="inlineStr"/>
      <c r="D33" s="6" t="inlineStr"/>
      <c r="E33" s="6" t="inlineStr"/>
      <c r="F33" s="6" t="inlineStr"/>
      <c r="G33" s="4" t="inlineStr"/>
      <c r="H33" s="7">
        <f>IF($G33="","",IF(OR(ISNUMBER(SEARCH("incident",$G33)),ISNUMBER(SEARCH("anomalie",$G33)),ISNUMBER(SEARCH("avarie",$G33)),ISNUMBER(SEARCH("refus",$G33)),ISNUMBER(SEARCH("retour",$G33)),ISNUMBER(SEARCH("litige",$G33)),ISNUMBER(SEARCH("perdu",$G33)),ISNUMBER(SEARCH("endommag",$G33))),"Incident",IF(OR($F33&lt;&gt;"",ISNUMBER(SEARCH("livré",$G33)),ISNUMBER(SEARCH("livrée",$G33)),ISNUMBER(SEARCH("delivered",$G33)),ISNUMBER(SEARCH("remis",$G33))),"Livré",IF(AND($E33&lt;&gt;"",$E33&lt;TODAY()),"En retard","En cours"))))</f>
        <v/>
      </c>
      <c r="I33" s="8">
        <f>IF($H33="En retard",TODAY()-$E33,IF(AND($H33="Livré",$E33&lt;&gt;"",$F33&lt;&gt;"",$F33&gt;$E33),$F33-$E33,0))</f>
        <v/>
      </c>
      <c r="J33" s="5" t="inlineStr"/>
    </row>
    <row r="34">
      <c r="A34" s="4" t="inlineStr"/>
      <c r="B34" s="4" t="inlineStr"/>
      <c r="C34" s="5" t="inlineStr"/>
      <c r="D34" s="6" t="inlineStr"/>
      <c r="E34" s="6" t="inlineStr"/>
      <c r="F34" s="6" t="inlineStr"/>
      <c r="G34" s="4" t="inlineStr"/>
      <c r="H34" s="7">
        <f>IF($G34="","",IF(OR(ISNUMBER(SEARCH("incident",$G34)),ISNUMBER(SEARCH("anomalie",$G34)),ISNUMBER(SEARCH("avarie",$G34)),ISNUMBER(SEARCH("refus",$G34)),ISNUMBER(SEARCH("retour",$G34)),ISNUMBER(SEARCH("litige",$G34)),ISNUMBER(SEARCH("perdu",$G34)),ISNUMBER(SEARCH("endommag",$G34))),"Incident",IF(OR($F34&lt;&gt;"",ISNUMBER(SEARCH("livré",$G34)),ISNUMBER(SEARCH("livrée",$G34)),ISNUMBER(SEARCH("delivered",$G34)),ISNUMBER(SEARCH("remis",$G34))),"Livré",IF(AND($E34&lt;&gt;"",$E34&lt;TODAY()),"En retard","En cours"))))</f>
        <v/>
      </c>
      <c r="I34" s="8">
        <f>IF($H34="En retard",TODAY()-$E34,IF(AND($H34="Livré",$E34&lt;&gt;"",$F34&lt;&gt;"",$F34&gt;$E34),$F34-$E34,0))</f>
        <v/>
      </c>
      <c r="J34" s="5" t="inlineStr"/>
    </row>
    <row r="35">
      <c r="A35" s="4" t="inlineStr"/>
      <c r="B35" s="4" t="inlineStr"/>
      <c r="C35" s="5" t="inlineStr"/>
      <c r="D35" s="6" t="inlineStr"/>
      <c r="E35" s="6" t="inlineStr"/>
      <c r="F35" s="6" t="inlineStr"/>
      <c r="G35" s="4" t="inlineStr"/>
      <c r="H35" s="7">
        <f>IF($G35="","",IF(OR(ISNUMBER(SEARCH("incident",$G35)),ISNUMBER(SEARCH("anomalie",$G35)),ISNUMBER(SEARCH("avarie",$G35)),ISNUMBER(SEARCH("refus",$G35)),ISNUMBER(SEARCH("retour",$G35)),ISNUMBER(SEARCH("litige",$G35)),ISNUMBER(SEARCH("perdu",$G35)),ISNUMBER(SEARCH("endommag",$G35))),"Incident",IF(OR($F35&lt;&gt;"",ISNUMBER(SEARCH("livré",$G35)),ISNUMBER(SEARCH("livrée",$G35)),ISNUMBER(SEARCH("delivered",$G35)),ISNUMBER(SEARCH("remis",$G35))),"Livré",IF(AND($E35&lt;&gt;"",$E35&lt;TODAY()),"En retard","En cours"))))</f>
        <v/>
      </c>
      <c r="I35" s="8">
        <f>IF($H35="En retard",TODAY()-$E35,IF(AND($H35="Livré",$E35&lt;&gt;"",$F35&lt;&gt;"",$F35&gt;$E35),$F35-$E35,0))</f>
        <v/>
      </c>
      <c r="J35" s="5" t="inlineStr"/>
    </row>
    <row r="36">
      <c r="A36" s="4" t="inlineStr"/>
      <c r="B36" s="4" t="inlineStr"/>
      <c r="C36" s="5" t="inlineStr"/>
      <c r="D36" s="6" t="inlineStr"/>
      <c r="E36" s="6" t="inlineStr"/>
      <c r="F36" s="6" t="inlineStr"/>
      <c r="G36" s="4" t="inlineStr"/>
      <c r="H36" s="7">
        <f>IF($G36="","",IF(OR(ISNUMBER(SEARCH("incident",$G36)),ISNUMBER(SEARCH("anomalie",$G36)),ISNUMBER(SEARCH("avarie",$G36)),ISNUMBER(SEARCH("refus",$G36)),ISNUMBER(SEARCH("retour",$G36)),ISNUMBER(SEARCH("litige",$G36)),ISNUMBER(SEARCH("perdu",$G36)),ISNUMBER(SEARCH("endommag",$G36))),"Incident",IF(OR($F36&lt;&gt;"",ISNUMBER(SEARCH("livré",$G36)),ISNUMBER(SEARCH("livrée",$G36)),ISNUMBER(SEARCH("delivered",$G36)),ISNUMBER(SEARCH("remis",$G36))),"Livré",IF(AND($E36&lt;&gt;"",$E36&lt;TODAY()),"En retard","En cours"))))</f>
        <v/>
      </c>
      <c r="I36" s="8">
        <f>IF($H36="En retard",TODAY()-$E36,IF(AND($H36="Livré",$E36&lt;&gt;"",$F36&lt;&gt;"",$F36&gt;$E36),$F36-$E36,0))</f>
        <v/>
      </c>
      <c r="J36" s="5" t="inlineStr"/>
    </row>
    <row r="37">
      <c r="A37" s="4" t="inlineStr"/>
      <c r="B37" s="4" t="inlineStr"/>
      <c r="C37" s="5" t="inlineStr"/>
      <c r="D37" s="6" t="inlineStr"/>
      <c r="E37" s="6" t="inlineStr"/>
      <c r="F37" s="6" t="inlineStr"/>
      <c r="G37" s="4" t="inlineStr"/>
      <c r="H37" s="7">
        <f>IF($G37="","",IF(OR(ISNUMBER(SEARCH("incident",$G37)),ISNUMBER(SEARCH("anomalie",$G37)),ISNUMBER(SEARCH("avarie",$G37)),ISNUMBER(SEARCH("refus",$G37)),ISNUMBER(SEARCH("retour",$G37)),ISNUMBER(SEARCH("litige",$G37)),ISNUMBER(SEARCH("perdu",$G37)),ISNUMBER(SEARCH("endommag",$G37))),"Incident",IF(OR($F37&lt;&gt;"",ISNUMBER(SEARCH("livré",$G37)),ISNUMBER(SEARCH("livrée",$G37)),ISNUMBER(SEARCH("delivered",$G37)),ISNUMBER(SEARCH("remis",$G37))),"Livré",IF(AND($E37&lt;&gt;"",$E37&lt;TODAY()),"En retard","En cours"))))</f>
        <v/>
      </c>
      <c r="I37" s="8">
        <f>IF($H37="En retard",TODAY()-$E37,IF(AND($H37="Livré",$E37&lt;&gt;"",$F37&lt;&gt;"",$F37&gt;$E37),$F37-$E37,0))</f>
        <v/>
      </c>
      <c r="J37" s="5" t="inlineStr"/>
    </row>
    <row r="38">
      <c r="A38" s="4" t="inlineStr"/>
      <c r="B38" s="4" t="inlineStr"/>
      <c r="C38" s="5" t="inlineStr"/>
      <c r="D38" s="6" t="inlineStr"/>
      <c r="E38" s="6" t="inlineStr"/>
      <c r="F38" s="6" t="inlineStr"/>
      <c r="G38" s="4" t="inlineStr"/>
      <c r="H38" s="7">
        <f>IF($G38="","",IF(OR(ISNUMBER(SEARCH("incident",$G38)),ISNUMBER(SEARCH("anomalie",$G38)),ISNUMBER(SEARCH("avarie",$G38)),ISNUMBER(SEARCH("refus",$G38)),ISNUMBER(SEARCH("retour",$G38)),ISNUMBER(SEARCH("litige",$G38)),ISNUMBER(SEARCH("perdu",$G38)),ISNUMBER(SEARCH("endommag",$G38))),"Incident",IF(OR($F38&lt;&gt;"",ISNUMBER(SEARCH("livré",$G38)),ISNUMBER(SEARCH("livrée",$G38)),ISNUMBER(SEARCH("delivered",$G38)),ISNUMBER(SEARCH("remis",$G38))),"Livré",IF(AND($E38&lt;&gt;"",$E38&lt;TODAY()),"En retard","En cours"))))</f>
        <v/>
      </c>
      <c r="I38" s="8">
        <f>IF($H38="En retard",TODAY()-$E38,IF(AND($H38="Livré",$E38&lt;&gt;"",$F38&lt;&gt;"",$F38&gt;$E38),$F38-$E38,0))</f>
        <v/>
      </c>
      <c r="J38" s="5" t="inlineStr"/>
    </row>
    <row r="39">
      <c r="A39" s="4" t="inlineStr"/>
      <c r="B39" s="4" t="inlineStr"/>
      <c r="C39" s="5" t="inlineStr"/>
      <c r="D39" s="6" t="inlineStr"/>
      <c r="E39" s="6" t="inlineStr"/>
      <c r="F39" s="6" t="inlineStr"/>
      <c r="G39" s="4" t="inlineStr"/>
      <c r="H39" s="7">
        <f>IF($G39="","",IF(OR(ISNUMBER(SEARCH("incident",$G39)),ISNUMBER(SEARCH("anomalie",$G39)),ISNUMBER(SEARCH("avarie",$G39)),ISNUMBER(SEARCH("refus",$G39)),ISNUMBER(SEARCH("retour",$G39)),ISNUMBER(SEARCH("litige",$G39)),ISNUMBER(SEARCH("perdu",$G39)),ISNUMBER(SEARCH("endommag",$G39))),"Incident",IF(OR($F39&lt;&gt;"",ISNUMBER(SEARCH("livré",$G39)),ISNUMBER(SEARCH("livrée",$G39)),ISNUMBER(SEARCH("delivered",$G39)),ISNUMBER(SEARCH("remis",$G39))),"Livré",IF(AND($E39&lt;&gt;"",$E39&lt;TODAY()),"En retard","En cours"))))</f>
        <v/>
      </c>
      <c r="I39" s="8">
        <f>IF($H39="En retard",TODAY()-$E39,IF(AND($H39="Livré",$E39&lt;&gt;"",$F39&lt;&gt;"",$F39&gt;$E39),$F39-$E39,0))</f>
        <v/>
      </c>
      <c r="J39" s="5" t="inlineStr"/>
    </row>
    <row r="40">
      <c r="A40" s="4" t="inlineStr"/>
      <c r="B40" s="4" t="inlineStr"/>
      <c r="C40" s="5" t="inlineStr"/>
      <c r="D40" s="6" t="inlineStr"/>
      <c r="E40" s="6" t="inlineStr"/>
      <c r="F40" s="6" t="inlineStr"/>
      <c r="G40" s="4" t="inlineStr"/>
      <c r="H40" s="7">
        <f>IF($G40="","",IF(OR(ISNUMBER(SEARCH("incident",$G40)),ISNUMBER(SEARCH("anomalie",$G40)),ISNUMBER(SEARCH("avarie",$G40)),ISNUMBER(SEARCH("refus",$G40)),ISNUMBER(SEARCH("retour",$G40)),ISNUMBER(SEARCH("litige",$G40)),ISNUMBER(SEARCH("perdu",$G40)),ISNUMBER(SEARCH("endommag",$G40))),"Incident",IF(OR($F40&lt;&gt;"",ISNUMBER(SEARCH("livré",$G40)),ISNUMBER(SEARCH("livrée",$G40)),ISNUMBER(SEARCH("delivered",$G40)),ISNUMBER(SEARCH("remis",$G40))),"Livré",IF(AND($E40&lt;&gt;"",$E40&lt;TODAY()),"En retard","En cours"))))</f>
        <v/>
      </c>
      <c r="I40" s="8">
        <f>IF($H40="En retard",TODAY()-$E40,IF(AND($H40="Livré",$E40&lt;&gt;"",$F40&lt;&gt;"",$F40&gt;$E40),$F40-$E40,0))</f>
        <v/>
      </c>
      <c r="J40" s="5" t="inlineStr"/>
    </row>
    <row r="41">
      <c r="A41" s="4" t="inlineStr"/>
      <c r="B41" s="4" t="inlineStr"/>
      <c r="C41" s="5" t="inlineStr"/>
      <c r="D41" s="6" t="inlineStr"/>
      <c r="E41" s="6" t="inlineStr"/>
      <c r="F41" s="6" t="inlineStr"/>
      <c r="G41" s="4" t="inlineStr"/>
      <c r="H41" s="7">
        <f>IF($G41="","",IF(OR(ISNUMBER(SEARCH("incident",$G41)),ISNUMBER(SEARCH("anomalie",$G41)),ISNUMBER(SEARCH("avarie",$G41)),ISNUMBER(SEARCH("refus",$G41)),ISNUMBER(SEARCH("retour",$G41)),ISNUMBER(SEARCH("litige",$G41)),ISNUMBER(SEARCH("perdu",$G41)),ISNUMBER(SEARCH("endommag",$G41))),"Incident",IF(OR($F41&lt;&gt;"",ISNUMBER(SEARCH("livré",$G41)),ISNUMBER(SEARCH("livrée",$G41)),ISNUMBER(SEARCH("delivered",$G41)),ISNUMBER(SEARCH("remis",$G41))),"Livré",IF(AND($E41&lt;&gt;"",$E41&lt;TODAY()),"En retard","En cours"))))</f>
        <v/>
      </c>
      <c r="I41" s="8">
        <f>IF($H41="En retard",TODAY()-$E41,IF(AND($H41="Livré",$E41&lt;&gt;"",$F41&lt;&gt;"",$F41&gt;$E41),$F41-$E41,0))</f>
        <v/>
      </c>
      <c r="J41" s="5" t="inlineStr"/>
    </row>
    <row r="42">
      <c r="A42" s="4" t="inlineStr"/>
      <c r="B42" s="4" t="inlineStr"/>
      <c r="C42" s="5" t="inlineStr"/>
      <c r="D42" s="6" t="inlineStr"/>
      <c r="E42" s="6" t="inlineStr"/>
      <c r="F42" s="6" t="inlineStr"/>
      <c r="G42" s="4" t="inlineStr"/>
      <c r="H42" s="7">
        <f>IF($G42="","",IF(OR(ISNUMBER(SEARCH("incident",$G42)),ISNUMBER(SEARCH("anomalie",$G42)),ISNUMBER(SEARCH("avarie",$G42)),ISNUMBER(SEARCH("refus",$G42)),ISNUMBER(SEARCH("retour",$G42)),ISNUMBER(SEARCH("litige",$G42)),ISNUMBER(SEARCH("perdu",$G42)),ISNUMBER(SEARCH("endommag",$G42))),"Incident",IF(OR($F42&lt;&gt;"",ISNUMBER(SEARCH("livré",$G42)),ISNUMBER(SEARCH("livrée",$G42)),ISNUMBER(SEARCH("delivered",$G42)),ISNUMBER(SEARCH("remis",$G42))),"Livré",IF(AND($E42&lt;&gt;"",$E42&lt;TODAY()),"En retard","En cours"))))</f>
        <v/>
      </c>
      <c r="I42" s="8">
        <f>IF($H42="En retard",TODAY()-$E42,IF(AND($H42="Livré",$E42&lt;&gt;"",$F42&lt;&gt;"",$F42&gt;$E42),$F42-$E42,0))</f>
        <v/>
      </c>
      <c r="J42" s="5" t="inlineStr"/>
    </row>
    <row r="43">
      <c r="A43" s="4" t="inlineStr"/>
      <c r="B43" s="4" t="inlineStr"/>
      <c r="C43" s="5" t="inlineStr"/>
      <c r="D43" s="6" t="inlineStr"/>
      <c r="E43" s="6" t="inlineStr"/>
      <c r="F43" s="6" t="inlineStr"/>
      <c r="G43" s="4" t="inlineStr"/>
      <c r="H43" s="7">
        <f>IF($G43="","",IF(OR(ISNUMBER(SEARCH("incident",$G43)),ISNUMBER(SEARCH("anomalie",$G43)),ISNUMBER(SEARCH("avarie",$G43)),ISNUMBER(SEARCH("refus",$G43)),ISNUMBER(SEARCH("retour",$G43)),ISNUMBER(SEARCH("litige",$G43)),ISNUMBER(SEARCH("perdu",$G43)),ISNUMBER(SEARCH("endommag",$G43))),"Incident",IF(OR($F43&lt;&gt;"",ISNUMBER(SEARCH("livré",$G43)),ISNUMBER(SEARCH("livrée",$G43)),ISNUMBER(SEARCH("delivered",$G43)),ISNUMBER(SEARCH("remis",$G43))),"Livré",IF(AND($E43&lt;&gt;"",$E43&lt;TODAY()),"En retard","En cours"))))</f>
        <v/>
      </c>
      <c r="I43" s="8">
        <f>IF($H43="En retard",TODAY()-$E43,IF(AND($H43="Livré",$E43&lt;&gt;"",$F43&lt;&gt;"",$F43&gt;$E43),$F43-$E43,0))</f>
        <v/>
      </c>
      <c r="J43" s="5" t="inlineStr"/>
    </row>
    <row r="44">
      <c r="A44" s="4" t="inlineStr"/>
      <c r="B44" s="4" t="inlineStr"/>
      <c r="C44" s="5" t="inlineStr"/>
      <c r="D44" s="6" t="inlineStr"/>
      <c r="E44" s="6" t="inlineStr"/>
      <c r="F44" s="6" t="inlineStr"/>
      <c r="G44" s="4" t="inlineStr"/>
      <c r="H44" s="7">
        <f>IF($G44="","",IF(OR(ISNUMBER(SEARCH("incident",$G44)),ISNUMBER(SEARCH("anomalie",$G44)),ISNUMBER(SEARCH("avarie",$G44)),ISNUMBER(SEARCH("refus",$G44)),ISNUMBER(SEARCH("retour",$G44)),ISNUMBER(SEARCH("litige",$G44)),ISNUMBER(SEARCH("perdu",$G44)),ISNUMBER(SEARCH("endommag",$G44))),"Incident",IF(OR($F44&lt;&gt;"",ISNUMBER(SEARCH("livré",$G44)),ISNUMBER(SEARCH("livrée",$G44)),ISNUMBER(SEARCH("delivered",$G44)),ISNUMBER(SEARCH("remis",$G44))),"Livré",IF(AND($E44&lt;&gt;"",$E44&lt;TODAY()),"En retard","En cours"))))</f>
        <v/>
      </c>
      <c r="I44" s="8">
        <f>IF($H44="En retard",TODAY()-$E44,IF(AND($H44="Livré",$E44&lt;&gt;"",$F44&lt;&gt;"",$F44&gt;$E44),$F44-$E44,0))</f>
        <v/>
      </c>
      <c r="J44" s="5" t="inlineStr"/>
    </row>
    <row r="45">
      <c r="A45" s="4" t="inlineStr"/>
      <c r="B45" s="4" t="inlineStr"/>
      <c r="C45" s="5" t="inlineStr"/>
      <c r="D45" s="6" t="inlineStr"/>
      <c r="E45" s="6" t="inlineStr"/>
      <c r="F45" s="6" t="inlineStr"/>
      <c r="G45" s="4" t="inlineStr"/>
      <c r="H45" s="7">
        <f>IF($G45="","",IF(OR(ISNUMBER(SEARCH("incident",$G45)),ISNUMBER(SEARCH("anomalie",$G45)),ISNUMBER(SEARCH("avarie",$G45)),ISNUMBER(SEARCH("refus",$G45)),ISNUMBER(SEARCH("retour",$G45)),ISNUMBER(SEARCH("litige",$G45)),ISNUMBER(SEARCH("perdu",$G45)),ISNUMBER(SEARCH("endommag",$G45))),"Incident",IF(OR($F45&lt;&gt;"",ISNUMBER(SEARCH("livré",$G45)),ISNUMBER(SEARCH("livrée",$G45)),ISNUMBER(SEARCH("delivered",$G45)),ISNUMBER(SEARCH("remis",$G45))),"Livré",IF(AND($E45&lt;&gt;"",$E45&lt;TODAY()),"En retard","En cours"))))</f>
        <v/>
      </c>
      <c r="I45" s="8">
        <f>IF($H45="En retard",TODAY()-$E45,IF(AND($H45="Livré",$E45&lt;&gt;"",$F45&lt;&gt;"",$F45&gt;$E45),$F45-$E45,0))</f>
        <v/>
      </c>
      <c r="J45" s="5" t="inlineStr"/>
    </row>
    <row r="46">
      <c r="A46" s="4" t="inlineStr"/>
      <c r="B46" s="4" t="inlineStr"/>
      <c r="C46" s="5" t="inlineStr"/>
      <c r="D46" s="6" t="inlineStr"/>
      <c r="E46" s="6" t="inlineStr"/>
      <c r="F46" s="6" t="inlineStr"/>
      <c r="G46" s="4" t="inlineStr"/>
      <c r="H46" s="7">
        <f>IF($G46="","",IF(OR(ISNUMBER(SEARCH("incident",$G46)),ISNUMBER(SEARCH("anomalie",$G46)),ISNUMBER(SEARCH("avarie",$G46)),ISNUMBER(SEARCH("refus",$G46)),ISNUMBER(SEARCH("retour",$G46)),ISNUMBER(SEARCH("litige",$G46)),ISNUMBER(SEARCH("perdu",$G46)),ISNUMBER(SEARCH("endommag",$G46))),"Incident",IF(OR($F46&lt;&gt;"",ISNUMBER(SEARCH("livré",$G46)),ISNUMBER(SEARCH("livrée",$G46)),ISNUMBER(SEARCH("delivered",$G46)),ISNUMBER(SEARCH("remis",$G46))),"Livré",IF(AND($E46&lt;&gt;"",$E46&lt;TODAY()),"En retard","En cours"))))</f>
        <v/>
      </c>
      <c r="I46" s="8">
        <f>IF($H46="En retard",TODAY()-$E46,IF(AND($H46="Livré",$E46&lt;&gt;"",$F46&lt;&gt;"",$F46&gt;$E46),$F46-$E46,0))</f>
        <v/>
      </c>
      <c r="J46" s="5" t="inlineStr"/>
    </row>
    <row r="47">
      <c r="A47" s="4" t="inlineStr"/>
      <c r="B47" s="4" t="inlineStr"/>
      <c r="C47" s="5" t="inlineStr"/>
      <c r="D47" s="6" t="inlineStr"/>
      <c r="E47" s="6" t="inlineStr"/>
      <c r="F47" s="6" t="inlineStr"/>
      <c r="G47" s="4" t="inlineStr"/>
      <c r="H47" s="7">
        <f>IF($G47="","",IF(OR(ISNUMBER(SEARCH("incident",$G47)),ISNUMBER(SEARCH("anomalie",$G47)),ISNUMBER(SEARCH("avarie",$G47)),ISNUMBER(SEARCH("refus",$G47)),ISNUMBER(SEARCH("retour",$G47)),ISNUMBER(SEARCH("litige",$G47)),ISNUMBER(SEARCH("perdu",$G47)),ISNUMBER(SEARCH("endommag",$G47))),"Incident",IF(OR($F47&lt;&gt;"",ISNUMBER(SEARCH("livré",$G47)),ISNUMBER(SEARCH("livrée",$G47)),ISNUMBER(SEARCH("delivered",$G47)),ISNUMBER(SEARCH("remis",$G47))),"Livré",IF(AND($E47&lt;&gt;"",$E47&lt;TODAY()),"En retard","En cours"))))</f>
        <v/>
      </c>
      <c r="I47" s="8">
        <f>IF($H47="En retard",TODAY()-$E47,IF(AND($H47="Livré",$E47&lt;&gt;"",$F47&lt;&gt;"",$F47&gt;$E47),$F47-$E47,0))</f>
        <v/>
      </c>
      <c r="J47" s="5" t="inlineStr"/>
    </row>
    <row r="48">
      <c r="A48" s="4" t="inlineStr"/>
      <c r="B48" s="4" t="inlineStr"/>
      <c r="C48" s="5" t="inlineStr"/>
      <c r="D48" s="6" t="inlineStr"/>
      <c r="E48" s="6" t="inlineStr"/>
      <c r="F48" s="6" t="inlineStr"/>
      <c r="G48" s="4" t="inlineStr"/>
      <c r="H48" s="7">
        <f>IF($G48="","",IF(OR(ISNUMBER(SEARCH("incident",$G48)),ISNUMBER(SEARCH("anomalie",$G48)),ISNUMBER(SEARCH("avarie",$G48)),ISNUMBER(SEARCH("refus",$G48)),ISNUMBER(SEARCH("retour",$G48)),ISNUMBER(SEARCH("litige",$G48)),ISNUMBER(SEARCH("perdu",$G48)),ISNUMBER(SEARCH("endommag",$G48))),"Incident",IF(OR($F48&lt;&gt;"",ISNUMBER(SEARCH("livré",$G48)),ISNUMBER(SEARCH("livrée",$G48)),ISNUMBER(SEARCH("delivered",$G48)),ISNUMBER(SEARCH("remis",$G48))),"Livré",IF(AND($E48&lt;&gt;"",$E48&lt;TODAY()),"En retard","En cours"))))</f>
        <v/>
      </c>
      <c r="I48" s="8">
        <f>IF($H48="En retard",TODAY()-$E48,IF(AND($H48="Livré",$E48&lt;&gt;"",$F48&lt;&gt;"",$F48&gt;$E48),$F48-$E48,0))</f>
        <v/>
      </c>
      <c r="J48" s="5" t="inlineStr"/>
    </row>
    <row r="49">
      <c r="A49" s="4" t="inlineStr"/>
      <c r="B49" s="4" t="inlineStr"/>
      <c r="C49" s="5" t="inlineStr"/>
      <c r="D49" s="6" t="inlineStr"/>
      <c r="E49" s="6" t="inlineStr"/>
      <c r="F49" s="6" t="inlineStr"/>
      <c r="G49" s="4" t="inlineStr"/>
      <c r="H49" s="7">
        <f>IF($G49="","",IF(OR(ISNUMBER(SEARCH("incident",$G49)),ISNUMBER(SEARCH("anomalie",$G49)),ISNUMBER(SEARCH("avarie",$G49)),ISNUMBER(SEARCH("refus",$G49)),ISNUMBER(SEARCH("retour",$G49)),ISNUMBER(SEARCH("litige",$G49)),ISNUMBER(SEARCH("perdu",$G49)),ISNUMBER(SEARCH("endommag",$G49))),"Incident",IF(OR($F49&lt;&gt;"",ISNUMBER(SEARCH("livré",$G49)),ISNUMBER(SEARCH("livrée",$G49)),ISNUMBER(SEARCH("delivered",$G49)),ISNUMBER(SEARCH("remis",$G49))),"Livré",IF(AND($E49&lt;&gt;"",$E49&lt;TODAY()),"En retard","En cours"))))</f>
        <v/>
      </c>
      <c r="I49" s="8">
        <f>IF($H49="En retard",TODAY()-$E49,IF(AND($H49="Livré",$E49&lt;&gt;"",$F49&lt;&gt;"",$F49&gt;$E49),$F49-$E49,0))</f>
        <v/>
      </c>
      <c r="J49" s="5" t="inlineStr"/>
    </row>
    <row r="50">
      <c r="A50" s="4" t="inlineStr"/>
      <c r="B50" s="4" t="inlineStr"/>
      <c r="C50" s="5" t="inlineStr"/>
      <c r="D50" s="6" t="inlineStr"/>
      <c r="E50" s="6" t="inlineStr"/>
      <c r="F50" s="6" t="inlineStr"/>
      <c r="G50" s="4" t="inlineStr"/>
      <c r="H50" s="7">
        <f>IF($G50="","",IF(OR(ISNUMBER(SEARCH("incident",$G50)),ISNUMBER(SEARCH("anomalie",$G50)),ISNUMBER(SEARCH("avarie",$G50)),ISNUMBER(SEARCH("refus",$G50)),ISNUMBER(SEARCH("retour",$G50)),ISNUMBER(SEARCH("litige",$G50)),ISNUMBER(SEARCH("perdu",$G50)),ISNUMBER(SEARCH("endommag",$G50))),"Incident",IF(OR($F50&lt;&gt;"",ISNUMBER(SEARCH("livré",$G50)),ISNUMBER(SEARCH("livrée",$G50)),ISNUMBER(SEARCH("delivered",$G50)),ISNUMBER(SEARCH("remis",$G50))),"Livré",IF(AND($E50&lt;&gt;"",$E50&lt;TODAY()),"En retard","En cours"))))</f>
        <v/>
      </c>
      <c r="I50" s="8">
        <f>IF($H50="En retard",TODAY()-$E50,IF(AND($H50="Livré",$E50&lt;&gt;"",$F50&lt;&gt;"",$F50&gt;$E50),$F50-$E50,0))</f>
        <v/>
      </c>
      <c r="J50" s="5" t="inlineStr"/>
    </row>
    <row r="51">
      <c r="A51" s="4" t="inlineStr"/>
      <c r="B51" s="4" t="inlineStr"/>
      <c r="C51" s="5" t="inlineStr"/>
      <c r="D51" s="6" t="inlineStr"/>
      <c r="E51" s="6" t="inlineStr"/>
      <c r="F51" s="6" t="inlineStr"/>
      <c r="G51" s="4" t="inlineStr"/>
      <c r="H51" s="7">
        <f>IF($G51="","",IF(OR(ISNUMBER(SEARCH("incident",$G51)),ISNUMBER(SEARCH("anomalie",$G51)),ISNUMBER(SEARCH("avarie",$G51)),ISNUMBER(SEARCH("refus",$G51)),ISNUMBER(SEARCH("retour",$G51)),ISNUMBER(SEARCH("litige",$G51)),ISNUMBER(SEARCH("perdu",$G51)),ISNUMBER(SEARCH("endommag",$G51))),"Incident",IF(OR($F51&lt;&gt;"",ISNUMBER(SEARCH("livré",$G51)),ISNUMBER(SEARCH("livrée",$G51)),ISNUMBER(SEARCH("delivered",$G51)),ISNUMBER(SEARCH("remis",$G51))),"Livré",IF(AND($E51&lt;&gt;"",$E51&lt;TODAY()),"En retard","En cours"))))</f>
        <v/>
      </c>
      <c r="I51" s="8">
        <f>IF($H51="En retard",TODAY()-$E51,IF(AND($H51="Livré",$E51&lt;&gt;"",$F51&lt;&gt;"",$F51&gt;$E51),$F51-$E51,0))</f>
        <v/>
      </c>
      <c r="J51" s="5" t="inlineStr"/>
    </row>
    <row r="52">
      <c r="A52" s="4" t="inlineStr"/>
      <c r="B52" s="4" t="inlineStr"/>
      <c r="C52" s="5" t="inlineStr"/>
      <c r="D52" s="6" t="inlineStr"/>
      <c r="E52" s="6" t="inlineStr"/>
      <c r="F52" s="6" t="inlineStr"/>
      <c r="G52" s="4" t="inlineStr"/>
      <c r="H52" s="7">
        <f>IF($G52="","",IF(OR(ISNUMBER(SEARCH("incident",$G52)),ISNUMBER(SEARCH("anomalie",$G52)),ISNUMBER(SEARCH("avarie",$G52)),ISNUMBER(SEARCH("refus",$G52)),ISNUMBER(SEARCH("retour",$G52)),ISNUMBER(SEARCH("litige",$G52)),ISNUMBER(SEARCH("perdu",$G52)),ISNUMBER(SEARCH("endommag",$G52))),"Incident",IF(OR($F52&lt;&gt;"",ISNUMBER(SEARCH("livré",$G52)),ISNUMBER(SEARCH("livrée",$G52)),ISNUMBER(SEARCH("delivered",$G52)),ISNUMBER(SEARCH("remis",$G52))),"Livré",IF(AND($E52&lt;&gt;"",$E52&lt;TODAY()),"En retard","En cours"))))</f>
        <v/>
      </c>
      <c r="I52" s="8">
        <f>IF($H52="En retard",TODAY()-$E52,IF(AND($H52="Livré",$E52&lt;&gt;"",$F52&lt;&gt;"",$F52&gt;$E52),$F52-$E52,0))</f>
        <v/>
      </c>
      <c r="J52" s="5" t="inlineStr"/>
    </row>
    <row r="53">
      <c r="A53" s="4" t="inlineStr"/>
      <c r="B53" s="4" t="inlineStr"/>
      <c r="C53" s="5" t="inlineStr"/>
      <c r="D53" s="6" t="inlineStr"/>
      <c r="E53" s="6" t="inlineStr"/>
      <c r="F53" s="6" t="inlineStr"/>
      <c r="G53" s="4" t="inlineStr"/>
      <c r="H53" s="7">
        <f>IF($G53="","",IF(OR(ISNUMBER(SEARCH("incident",$G53)),ISNUMBER(SEARCH("anomalie",$G53)),ISNUMBER(SEARCH("avarie",$G53)),ISNUMBER(SEARCH("refus",$G53)),ISNUMBER(SEARCH("retour",$G53)),ISNUMBER(SEARCH("litige",$G53)),ISNUMBER(SEARCH("perdu",$G53)),ISNUMBER(SEARCH("endommag",$G53))),"Incident",IF(OR($F53&lt;&gt;"",ISNUMBER(SEARCH("livré",$G53)),ISNUMBER(SEARCH("livrée",$G53)),ISNUMBER(SEARCH("delivered",$G53)),ISNUMBER(SEARCH("remis",$G53))),"Livré",IF(AND($E53&lt;&gt;"",$E53&lt;TODAY()),"En retard","En cours"))))</f>
        <v/>
      </c>
      <c r="I53" s="8">
        <f>IF($H53="En retard",TODAY()-$E53,IF(AND($H53="Livré",$E53&lt;&gt;"",$F53&lt;&gt;"",$F53&gt;$E53),$F53-$E53,0))</f>
        <v/>
      </c>
      <c r="J53" s="5" t="inlineStr"/>
    </row>
    <row r="54">
      <c r="A54" s="4" t="inlineStr"/>
      <c r="B54" s="4" t="inlineStr"/>
      <c r="C54" s="5" t="inlineStr"/>
      <c r="D54" s="6" t="inlineStr"/>
      <c r="E54" s="6" t="inlineStr"/>
      <c r="F54" s="6" t="inlineStr"/>
      <c r="G54" s="4" t="inlineStr"/>
      <c r="H54" s="7">
        <f>IF($G54="","",IF(OR(ISNUMBER(SEARCH("incident",$G54)),ISNUMBER(SEARCH("anomalie",$G54)),ISNUMBER(SEARCH("avarie",$G54)),ISNUMBER(SEARCH("refus",$G54)),ISNUMBER(SEARCH("retour",$G54)),ISNUMBER(SEARCH("litige",$G54)),ISNUMBER(SEARCH("perdu",$G54)),ISNUMBER(SEARCH("endommag",$G54))),"Incident",IF(OR($F54&lt;&gt;"",ISNUMBER(SEARCH("livré",$G54)),ISNUMBER(SEARCH("livrée",$G54)),ISNUMBER(SEARCH("delivered",$G54)),ISNUMBER(SEARCH("remis",$G54))),"Livré",IF(AND($E54&lt;&gt;"",$E54&lt;TODAY()),"En retard","En cours"))))</f>
        <v/>
      </c>
      <c r="I54" s="8">
        <f>IF($H54="En retard",TODAY()-$E54,IF(AND($H54="Livré",$E54&lt;&gt;"",$F54&lt;&gt;"",$F54&gt;$E54),$F54-$E54,0))</f>
        <v/>
      </c>
      <c r="J54" s="5" t="inlineStr"/>
    </row>
    <row r="55">
      <c r="A55" s="4" t="inlineStr"/>
      <c r="B55" s="4" t="inlineStr"/>
      <c r="C55" s="5" t="inlineStr"/>
      <c r="D55" s="6" t="inlineStr"/>
      <c r="E55" s="6" t="inlineStr"/>
      <c r="F55" s="6" t="inlineStr"/>
      <c r="G55" s="4" t="inlineStr"/>
      <c r="H55" s="7">
        <f>IF($G55="","",IF(OR(ISNUMBER(SEARCH("incident",$G55)),ISNUMBER(SEARCH("anomalie",$G55)),ISNUMBER(SEARCH("avarie",$G55)),ISNUMBER(SEARCH("refus",$G55)),ISNUMBER(SEARCH("retour",$G55)),ISNUMBER(SEARCH("litige",$G55)),ISNUMBER(SEARCH("perdu",$G55)),ISNUMBER(SEARCH("endommag",$G55))),"Incident",IF(OR($F55&lt;&gt;"",ISNUMBER(SEARCH("livré",$G55)),ISNUMBER(SEARCH("livrée",$G55)),ISNUMBER(SEARCH("delivered",$G55)),ISNUMBER(SEARCH("remis",$G55))),"Livré",IF(AND($E55&lt;&gt;"",$E55&lt;TODAY()),"En retard","En cours"))))</f>
        <v/>
      </c>
      <c r="I55" s="8">
        <f>IF($H55="En retard",TODAY()-$E55,IF(AND($H55="Livré",$E55&lt;&gt;"",$F55&lt;&gt;"",$F55&gt;$E55),$F55-$E55,0))</f>
        <v/>
      </c>
      <c r="J55" s="5" t="inlineStr"/>
    </row>
    <row r="56">
      <c r="A56" s="4" t="inlineStr"/>
      <c r="B56" s="4" t="inlineStr"/>
      <c r="C56" s="5" t="inlineStr"/>
      <c r="D56" s="6" t="inlineStr"/>
      <c r="E56" s="6" t="inlineStr"/>
      <c r="F56" s="6" t="inlineStr"/>
      <c r="G56" s="4" t="inlineStr"/>
      <c r="H56" s="7">
        <f>IF($G56="","",IF(OR(ISNUMBER(SEARCH("incident",$G56)),ISNUMBER(SEARCH("anomalie",$G56)),ISNUMBER(SEARCH("avarie",$G56)),ISNUMBER(SEARCH("refus",$G56)),ISNUMBER(SEARCH("retour",$G56)),ISNUMBER(SEARCH("litige",$G56)),ISNUMBER(SEARCH("perdu",$G56)),ISNUMBER(SEARCH("endommag",$G56))),"Incident",IF(OR($F56&lt;&gt;"",ISNUMBER(SEARCH("livré",$G56)),ISNUMBER(SEARCH("livrée",$G56)),ISNUMBER(SEARCH("delivered",$G56)),ISNUMBER(SEARCH("remis",$G56))),"Livré",IF(AND($E56&lt;&gt;"",$E56&lt;TODAY()),"En retard","En cours"))))</f>
        <v/>
      </c>
      <c r="I56" s="8">
        <f>IF($H56="En retard",TODAY()-$E56,IF(AND($H56="Livré",$E56&lt;&gt;"",$F56&lt;&gt;"",$F56&gt;$E56),$F56-$E56,0))</f>
        <v/>
      </c>
      <c r="J56" s="5" t="inlineStr"/>
    </row>
    <row r="57">
      <c r="A57" s="4" t="inlineStr"/>
      <c r="B57" s="4" t="inlineStr"/>
      <c r="C57" s="5" t="inlineStr"/>
      <c r="D57" s="6" t="inlineStr"/>
      <c r="E57" s="6" t="inlineStr"/>
      <c r="F57" s="6" t="inlineStr"/>
      <c r="G57" s="4" t="inlineStr"/>
      <c r="H57" s="7">
        <f>IF($G57="","",IF(OR(ISNUMBER(SEARCH("incident",$G57)),ISNUMBER(SEARCH("anomalie",$G57)),ISNUMBER(SEARCH("avarie",$G57)),ISNUMBER(SEARCH("refus",$G57)),ISNUMBER(SEARCH("retour",$G57)),ISNUMBER(SEARCH("litige",$G57)),ISNUMBER(SEARCH("perdu",$G57)),ISNUMBER(SEARCH("endommag",$G57))),"Incident",IF(OR($F57&lt;&gt;"",ISNUMBER(SEARCH("livré",$G57)),ISNUMBER(SEARCH("livrée",$G57)),ISNUMBER(SEARCH("delivered",$G57)),ISNUMBER(SEARCH("remis",$G57))),"Livré",IF(AND($E57&lt;&gt;"",$E57&lt;TODAY()),"En retard","En cours"))))</f>
        <v/>
      </c>
      <c r="I57" s="8">
        <f>IF($H57="En retard",TODAY()-$E57,IF(AND($H57="Livré",$E57&lt;&gt;"",$F57&lt;&gt;"",$F57&gt;$E57),$F57-$E57,0))</f>
        <v/>
      </c>
      <c r="J57" s="5" t="inlineStr"/>
    </row>
    <row r="58">
      <c r="A58" s="4" t="inlineStr"/>
      <c r="B58" s="4" t="inlineStr"/>
      <c r="C58" s="5" t="inlineStr"/>
      <c r="D58" s="6" t="inlineStr"/>
      <c r="E58" s="6" t="inlineStr"/>
      <c r="F58" s="6" t="inlineStr"/>
      <c r="G58" s="4" t="inlineStr"/>
      <c r="H58" s="7">
        <f>IF($G58="","",IF(OR(ISNUMBER(SEARCH("incident",$G58)),ISNUMBER(SEARCH("anomalie",$G58)),ISNUMBER(SEARCH("avarie",$G58)),ISNUMBER(SEARCH("refus",$G58)),ISNUMBER(SEARCH("retour",$G58)),ISNUMBER(SEARCH("litige",$G58)),ISNUMBER(SEARCH("perdu",$G58)),ISNUMBER(SEARCH("endommag",$G58))),"Incident",IF(OR($F58&lt;&gt;"",ISNUMBER(SEARCH("livré",$G58)),ISNUMBER(SEARCH("livrée",$G58)),ISNUMBER(SEARCH("delivered",$G58)),ISNUMBER(SEARCH("remis",$G58))),"Livré",IF(AND($E58&lt;&gt;"",$E58&lt;TODAY()),"En retard","En cours"))))</f>
        <v/>
      </c>
      <c r="I58" s="8">
        <f>IF($H58="En retard",TODAY()-$E58,IF(AND($H58="Livré",$E58&lt;&gt;"",$F58&lt;&gt;"",$F58&gt;$E58),$F58-$E58,0))</f>
        <v/>
      </c>
      <c r="J58" s="5" t="inlineStr"/>
    </row>
    <row r="59">
      <c r="A59" s="4" t="inlineStr"/>
      <c r="B59" s="4" t="inlineStr"/>
      <c r="C59" s="5" t="inlineStr"/>
      <c r="D59" s="6" t="inlineStr"/>
      <c r="E59" s="6" t="inlineStr"/>
      <c r="F59" s="6" t="inlineStr"/>
      <c r="G59" s="4" t="inlineStr"/>
      <c r="H59" s="7">
        <f>IF($G59="","",IF(OR(ISNUMBER(SEARCH("incident",$G59)),ISNUMBER(SEARCH("anomalie",$G59)),ISNUMBER(SEARCH("avarie",$G59)),ISNUMBER(SEARCH("refus",$G59)),ISNUMBER(SEARCH("retour",$G59)),ISNUMBER(SEARCH("litige",$G59)),ISNUMBER(SEARCH("perdu",$G59)),ISNUMBER(SEARCH("endommag",$G59))),"Incident",IF(OR($F59&lt;&gt;"",ISNUMBER(SEARCH("livré",$G59)),ISNUMBER(SEARCH("livrée",$G59)),ISNUMBER(SEARCH("delivered",$G59)),ISNUMBER(SEARCH("remis",$G59))),"Livré",IF(AND($E59&lt;&gt;"",$E59&lt;TODAY()),"En retard","En cours"))))</f>
        <v/>
      </c>
      <c r="I59" s="8">
        <f>IF($H59="En retard",TODAY()-$E59,IF(AND($H59="Livré",$E59&lt;&gt;"",$F59&lt;&gt;"",$F59&gt;$E59),$F59-$E59,0))</f>
        <v/>
      </c>
      <c r="J59" s="5" t="inlineStr"/>
    </row>
    <row r="60">
      <c r="A60" s="4" t="inlineStr"/>
      <c r="B60" s="4" t="inlineStr"/>
      <c r="C60" s="5" t="inlineStr"/>
      <c r="D60" s="6" t="inlineStr"/>
      <c r="E60" s="6" t="inlineStr"/>
      <c r="F60" s="6" t="inlineStr"/>
      <c r="G60" s="4" t="inlineStr"/>
      <c r="H60" s="7">
        <f>IF($G60="","",IF(OR(ISNUMBER(SEARCH("incident",$G60)),ISNUMBER(SEARCH("anomalie",$G60)),ISNUMBER(SEARCH("avarie",$G60)),ISNUMBER(SEARCH("refus",$G60)),ISNUMBER(SEARCH("retour",$G60)),ISNUMBER(SEARCH("litige",$G60)),ISNUMBER(SEARCH("perdu",$G60)),ISNUMBER(SEARCH("endommag",$G60))),"Incident",IF(OR($F60&lt;&gt;"",ISNUMBER(SEARCH("livré",$G60)),ISNUMBER(SEARCH("livrée",$G60)),ISNUMBER(SEARCH("delivered",$G60)),ISNUMBER(SEARCH("remis",$G60))),"Livré",IF(AND($E60&lt;&gt;"",$E60&lt;TODAY()),"En retard","En cours"))))</f>
        <v/>
      </c>
      <c r="I60" s="8">
        <f>IF($H60="En retard",TODAY()-$E60,IF(AND($H60="Livré",$E60&lt;&gt;"",$F60&lt;&gt;"",$F60&gt;$E60),$F60-$E60,0))</f>
        <v/>
      </c>
      <c r="J60" s="5" t="inlineStr"/>
    </row>
    <row r="61">
      <c r="A61" s="4" t="inlineStr"/>
      <c r="B61" s="4" t="inlineStr"/>
      <c r="C61" s="5" t="inlineStr"/>
      <c r="D61" s="6" t="inlineStr"/>
      <c r="E61" s="6" t="inlineStr"/>
      <c r="F61" s="6" t="inlineStr"/>
      <c r="G61" s="4" t="inlineStr"/>
      <c r="H61" s="7">
        <f>IF($G61="","",IF(OR(ISNUMBER(SEARCH("incident",$G61)),ISNUMBER(SEARCH("anomalie",$G61)),ISNUMBER(SEARCH("avarie",$G61)),ISNUMBER(SEARCH("refus",$G61)),ISNUMBER(SEARCH("retour",$G61)),ISNUMBER(SEARCH("litige",$G61)),ISNUMBER(SEARCH("perdu",$G61)),ISNUMBER(SEARCH("endommag",$G61))),"Incident",IF(OR($F61&lt;&gt;"",ISNUMBER(SEARCH("livré",$G61)),ISNUMBER(SEARCH("livrée",$G61)),ISNUMBER(SEARCH("delivered",$G61)),ISNUMBER(SEARCH("remis",$G61))),"Livré",IF(AND($E61&lt;&gt;"",$E61&lt;TODAY()),"En retard","En cours"))))</f>
        <v/>
      </c>
      <c r="I61" s="8">
        <f>IF($H61="En retard",TODAY()-$E61,IF(AND($H61="Livré",$E61&lt;&gt;"",$F61&lt;&gt;"",$F61&gt;$E61),$F61-$E61,0))</f>
        <v/>
      </c>
      <c r="J61" s="5" t="inlineStr"/>
    </row>
    <row r="62">
      <c r="A62" s="4" t="inlineStr"/>
      <c r="B62" s="4" t="inlineStr"/>
      <c r="C62" s="5" t="inlineStr"/>
      <c r="D62" s="6" t="inlineStr"/>
      <c r="E62" s="6" t="inlineStr"/>
      <c r="F62" s="6" t="inlineStr"/>
      <c r="G62" s="4" t="inlineStr"/>
      <c r="H62" s="7">
        <f>IF($G62="","",IF(OR(ISNUMBER(SEARCH("incident",$G62)),ISNUMBER(SEARCH("anomalie",$G62)),ISNUMBER(SEARCH("avarie",$G62)),ISNUMBER(SEARCH("refus",$G62)),ISNUMBER(SEARCH("retour",$G62)),ISNUMBER(SEARCH("litige",$G62)),ISNUMBER(SEARCH("perdu",$G62)),ISNUMBER(SEARCH("endommag",$G62))),"Incident",IF(OR($F62&lt;&gt;"",ISNUMBER(SEARCH("livré",$G62)),ISNUMBER(SEARCH("livrée",$G62)),ISNUMBER(SEARCH("delivered",$G62)),ISNUMBER(SEARCH("remis",$G62))),"Livré",IF(AND($E62&lt;&gt;"",$E62&lt;TODAY()),"En retard","En cours"))))</f>
        <v/>
      </c>
      <c r="I62" s="8">
        <f>IF($H62="En retard",TODAY()-$E62,IF(AND($H62="Livré",$E62&lt;&gt;"",$F62&lt;&gt;"",$F62&gt;$E62),$F62-$E62,0))</f>
        <v/>
      </c>
      <c r="J62" s="5" t="inlineStr"/>
    </row>
    <row r="63">
      <c r="A63" s="4" t="inlineStr"/>
      <c r="B63" s="4" t="inlineStr"/>
      <c r="C63" s="5" t="inlineStr"/>
      <c r="D63" s="6" t="inlineStr"/>
      <c r="E63" s="6" t="inlineStr"/>
      <c r="F63" s="6" t="inlineStr"/>
      <c r="G63" s="4" t="inlineStr"/>
      <c r="H63" s="7">
        <f>IF($G63="","",IF(OR(ISNUMBER(SEARCH("incident",$G63)),ISNUMBER(SEARCH("anomalie",$G63)),ISNUMBER(SEARCH("avarie",$G63)),ISNUMBER(SEARCH("refus",$G63)),ISNUMBER(SEARCH("retour",$G63)),ISNUMBER(SEARCH("litige",$G63)),ISNUMBER(SEARCH("perdu",$G63)),ISNUMBER(SEARCH("endommag",$G63))),"Incident",IF(OR($F63&lt;&gt;"",ISNUMBER(SEARCH("livré",$G63)),ISNUMBER(SEARCH("livrée",$G63)),ISNUMBER(SEARCH("delivered",$G63)),ISNUMBER(SEARCH("remis",$G63))),"Livré",IF(AND($E63&lt;&gt;"",$E63&lt;TODAY()),"En retard","En cours"))))</f>
        <v/>
      </c>
      <c r="I63" s="8">
        <f>IF($H63="En retard",TODAY()-$E63,IF(AND($H63="Livré",$E63&lt;&gt;"",$F63&lt;&gt;"",$F63&gt;$E63),$F63-$E63,0))</f>
        <v/>
      </c>
      <c r="J63" s="5" t="inlineStr"/>
    </row>
    <row r="64">
      <c r="A64" s="4" t="inlineStr"/>
      <c r="B64" s="4" t="inlineStr"/>
      <c r="C64" s="5" t="inlineStr"/>
      <c r="D64" s="6" t="inlineStr"/>
      <c r="E64" s="6" t="inlineStr"/>
      <c r="F64" s="6" t="inlineStr"/>
      <c r="G64" s="4" t="inlineStr"/>
      <c r="H64" s="7">
        <f>IF($G64="","",IF(OR(ISNUMBER(SEARCH("incident",$G64)),ISNUMBER(SEARCH("anomalie",$G64)),ISNUMBER(SEARCH("avarie",$G64)),ISNUMBER(SEARCH("refus",$G64)),ISNUMBER(SEARCH("retour",$G64)),ISNUMBER(SEARCH("litige",$G64)),ISNUMBER(SEARCH("perdu",$G64)),ISNUMBER(SEARCH("endommag",$G64))),"Incident",IF(OR($F64&lt;&gt;"",ISNUMBER(SEARCH("livré",$G64)),ISNUMBER(SEARCH("livrée",$G64)),ISNUMBER(SEARCH("delivered",$G64)),ISNUMBER(SEARCH("remis",$G64))),"Livré",IF(AND($E64&lt;&gt;"",$E64&lt;TODAY()),"En retard","En cours"))))</f>
        <v/>
      </c>
      <c r="I64" s="8">
        <f>IF($H64="En retard",TODAY()-$E64,IF(AND($H64="Livré",$E64&lt;&gt;"",$F64&lt;&gt;"",$F64&gt;$E64),$F64-$E64,0))</f>
        <v/>
      </c>
      <c r="J64" s="5" t="inlineStr"/>
    </row>
    <row r="65">
      <c r="A65" s="4" t="inlineStr"/>
      <c r="B65" s="4" t="inlineStr"/>
      <c r="C65" s="5" t="inlineStr"/>
      <c r="D65" s="6" t="inlineStr"/>
      <c r="E65" s="6" t="inlineStr"/>
      <c r="F65" s="6" t="inlineStr"/>
      <c r="G65" s="4" t="inlineStr"/>
      <c r="H65" s="7">
        <f>IF($G65="","",IF(OR(ISNUMBER(SEARCH("incident",$G65)),ISNUMBER(SEARCH("anomalie",$G65)),ISNUMBER(SEARCH("avarie",$G65)),ISNUMBER(SEARCH("refus",$G65)),ISNUMBER(SEARCH("retour",$G65)),ISNUMBER(SEARCH("litige",$G65)),ISNUMBER(SEARCH("perdu",$G65)),ISNUMBER(SEARCH("endommag",$G65))),"Incident",IF(OR($F65&lt;&gt;"",ISNUMBER(SEARCH("livré",$G65)),ISNUMBER(SEARCH("livrée",$G65)),ISNUMBER(SEARCH("delivered",$G65)),ISNUMBER(SEARCH("remis",$G65))),"Livré",IF(AND($E65&lt;&gt;"",$E65&lt;TODAY()),"En retard","En cours"))))</f>
        <v/>
      </c>
      <c r="I65" s="8">
        <f>IF($H65="En retard",TODAY()-$E65,IF(AND($H65="Livré",$E65&lt;&gt;"",$F65&lt;&gt;"",$F65&gt;$E65),$F65-$E65,0))</f>
        <v/>
      </c>
      <c r="J65" s="5" t="inlineStr"/>
    </row>
  </sheetData>
  <autoFilter ref="A4:J6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3" customWidth="1" min="4" max="4"/>
    <col width="18" customWidth="1" min="5" max="5"/>
    <col width="14" customWidth="1" min="6" max="6"/>
    <col width="3" customWidth="1" min="7" max="7"/>
    <col width="18" customWidth="1" min="8" max="8"/>
    <col width="14" customWidth="1" min="9" max="9"/>
  </cols>
  <sheetData>
    <row r="2">
      <c r="B2" s="9" t="inlineStr">
        <is>
          <t>TABLEAU DE BORD LIVRAISONS</t>
        </is>
      </c>
    </row>
    <row r="3">
      <c r="B3" s="10">
        <f>CONCATENATE("Mis à jour le ",TEXT(TODAY(),"dd/mm/yyyy"))</f>
        <v/>
      </c>
    </row>
    <row r="5">
      <c r="B5" s="11" t="inlineStr">
        <is>
          <t>Total commandes</t>
        </is>
      </c>
      <c r="E5" s="12" t="inlineStr">
        <is>
          <t>En cours</t>
        </is>
      </c>
      <c r="H5" s="13" t="inlineStr">
        <is>
          <t>En retard</t>
        </is>
      </c>
    </row>
    <row r="6">
      <c r="B6" s="14">
        <f>COUNTA(Suivi!$A$5:$A$65)</f>
        <v/>
      </c>
      <c r="E6" s="15">
        <f>COUNTIF(Suivi!$H$5:$H$65,"En cours")</f>
        <v/>
      </c>
      <c r="H6" s="16">
        <f>COUNTIF(Suivi!$H$5:$H$65,"En retard")</f>
        <v/>
      </c>
    </row>
    <row r="7"/>
    <row r="9">
      <c r="B9" s="17" t="inlineStr">
        <is>
          <t>Incident</t>
        </is>
      </c>
      <c r="E9" s="18" t="inlineStr">
        <is>
          <t>Livré</t>
        </is>
      </c>
      <c r="H9" s="19" t="inlineStr">
        <is>
          <t>À vérifier</t>
        </is>
      </c>
    </row>
    <row r="10">
      <c r="B10" s="20">
        <f>COUNTIF(Suivi!$H$5:$H$65,"Incident")</f>
        <v/>
      </c>
      <c r="E10" s="21">
        <f>COUNTIF(Suivi!$H$5:$H$65,"Livré")</f>
        <v/>
      </c>
      <c r="H10" s="22">
        <f>COUNTIF(Suivi!$H$5:$H$65,"À vérifier")</f>
        <v/>
      </c>
    </row>
    <row r="11"/>
    <row r="14">
      <c r="B14" s="1" t="inlineStr">
        <is>
          <t>Répartition par statut</t>
        </is>
      </c>
    </row>
    <row r="15">
      <c r="B15" s="23" t="inlineStr">
        <is>
          <t>En cours</t>
        </is>
      </c>
      <c r="C15" s="23">
        <f>COUNTIF(Suivi!$H$5:$H$65,"En cours")</f>
        <v/>
      </c>
    </row>
    <row r="16">
      <c r="B16" s="23" t="inlineStr">
        <is>
          <t>En retard</t>
        </is>
      </c>
      <c r="C16" s="23">
        <f>COUNTIF(Suivi!$H$5:$H$65,"En retard")</f>
        <v/>
      </c>
    </row>
    <row r="17">
      <c r="B17" s="23" t="inlineStr">
        <is>
          <t>Incident</t>
        </is>
      </c>
      <c r="C17" s="23">
        <f>COUNTIF(Suivi!$H$5:$H$65,"Incident")</f>
        <v/>
      </c>
    </row>
    <row r="18">
      <c r="B18" s="23" t="inlineStr">
        <is>
          <t>Livré</t>
        </is>
      </c>
      <c r="C18" s="23">
        <f>COUNTIF(Suivi!$H$5:$H$65,"Livré")</f>
        <v/>
      </c>
    </row>
    <row r="19">
      <c r="B19" s="23" t="inlineStr">
        <is>
          <t>À vérifier</t>
        </is>
      </c>
      <c r="C19" s="23">
        <f>COUNTIF(Suivi!$H$5:$H$65,"À vérifier")</f>
        <v/>
      </c>
    </row>
  </sheetData>
  <mergeCells count="12">
    <mergeCell ref="E6:F7"/>
    <mergeCell ref="H6:I7"/>
    <mergeCell ref="B5:C5"/>
    <mergeCell ref="E10:F11"/>
    <mergeCell ref="H10:I11"/>
    <mergeCell ref="E5:F5"/>
    <mergeCell ref="B10:C11"/>
    <mergeCell ref="B6:C7"/>
    <mergeCell ref="H5:I5"/>
    <mergeCell ref="B9:C9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2026-07-17T10:16:54Z</dcterms:created>
  <dcterms:modified xmlns:dcterms="http://purl.org/dc/terms/" xmlns:xsi="http://www.w3.org/2001/XMLSchema-instance" xsi:type="dcterms:W3CDTF">2026-07-17T10:16:54Z</dcterms:modified>
</cp:coreProperties>
</file>